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workbookProtection workbookAlgorithmName="SHA-512" workbookHashValue="sLdHijQyqrAnCJ3CEhjpTmMQsPxyjJYWPNm69xbloaVGsN/u6IxbnPQBcezOmA8I+XBf8ywxbBtZszOwtfkbtQ==" workbookSaltValue="TSL0VJSoA02+sNYAjbiPvw==" workbookSpinCount="100000" lockStructure="1"/>
  <bookViews>
    <workbookView xWindow="0" yWindow="0" windowWidth="19200" windowHeight="7050" firstSheet="1" activeTab="5"/>
  </bookViews>
  <sheets>
    <sheet name="بيانات المنشأة و تردد العيادات" sheetId="6" r:id="rId1"/>
    <sheet name="سجل الشكاوى" sheetId="1" r:id="rId2"/>
    <sheet name="تدريب" sheetId="3" r:id="rId3"/>
    <sheet name="الإفاقة القلبية" sheetId="4" r:id="rId4"/>
    <sheet name="الطوارئ والاستقبال" sheetId="7" r:id="rId5"/>
    <sheet name="الاجمالي الشهري" sheetId="2" r:id="rId6"/>
    <sheet name="نتائج المؤشرات الشهرية" sheetId="5" r:id="rId7"/>
  </sheets>
  <calcPr calcId="162913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8" i="2" l="1"/>
  <c r="C58" i="2"/>
  <c r="D58" i="2"/>
  <c r="E58" i="2"/>
  <c r="F58" i="2"/>
  <c r="G58" i="2"/>
  <c r="H58" i="2"/>
  <c r="I58" i="2"/>
  <c r="J58" i="2"/>
  <c r="K58" i="2"/>
  <c r="L58" i="2"/>
  <c r="M58" i="2"/>
  <c r="B59" i="2"/>
  <c r="C59" i="2"/>
  <c r="D59" i="2"/>
  <c r="E59" i="2"/>
  <c r="F59" i="2"/>
  <c r="G59" i="2"/>
  <c r="H59" i="2"/>
  <c r="I59" i="2"/>
  <c r="J59" i="2"/>
  <c r="K59" i="2"/>
  <c r="L59" i="2"/>
  <c r="M59" i="2"/>
  <c r="B60" i="2"/>
  <c r="C60" i="2"/>
  <c r="D60" i="2"/>
  <c r="E60" i="2"/>
  <c r="F60" i="2"/>
  <c r="G60" i="2"/>
  <c r="H60" i="2"/>
  <c r="I60" i="2"/>
  <c r="J60" i="2"/>
  <c r="K60" i="2"/>
  <c r="L60" i="2"/>
  <c r="M60" i="2"/>
  <c r="B61" i="2"/>
  <c r="C61" i="2"/>
  <c r="D61" i="2"/>
  <c r="E61" i="2"/>
  <c r="F61" i="2"/>
  <c r="G61" i="2"/>
  <c r="H61" i="2"/>
  <c r="I61" i="2"/>
  <c r="J61" i="2"/>
  <c r="K61" i="2"/>
  <c r="L61" i="2"/>
  <c r="M61" i="2"/>
  <c r="B62" i="2"/>
  <c r="C62" i="2"/>
  <c r="D62" i="2"/>
  <c r="E62" i="2"/>
  <c r="F62" i="2"/>
  <c r="G62" i="2"/>
  <c r="H62" i="2"/>
  <c r="I62" i="2"/>
  <c r="J62" i="2"/>
  <c r="K62" i="2"/>
  <c r="L62" i="2"/>
  <c r="M62" i="2"/>
  <c r="B63" i="2"/>
  <c r="C63" i="2"/>
  <c r="D63" i="2"/>
  <c r="E63" i="2"/>
  <c r="F63" i="2"/>
  <c r="G63" i="2"/>
  <c r="H63" i="2"/>
  <c r="I63" i="2"/>
  <c r="J63" i="2"/>
  <c r="K63" i="2"/>
  <c r="L63" i="2"/>
  <c r="M63" i="2"/>
  <c r="C57" i="2"/>
  <c r="D57" i="2"/>
  <c r="E57" i="2"/>
  <c r="F57" i="2"/>
  <c r="G57" i="2"/>
  <c r="H57" i="2"/>
  <c r="I57" i="2"/>
  <c r="J57" i="2"/>
  <c r="K57" i="2"/>
  <c r="L57" i="2"/>
  <c r="M57" i="2"/>
  <c r="B57" i="2"/>
  <c r="K56" i="2" l="1"/>
  <c r="J56" i="2"/>
  <c r="M56" i="2"/>
  <c r="E56" i="2"/>
  <c r="I56" i="2"/>
  <c r="L56" i="2"/>
  <c r="G56" i="2"/>
  <c r="H56" i="2"/>
  <c r="B56" i="2"/>
  <c r="F56" i="2"/>
  <c r="D56" i="2"/>
  <c r="C56" i="2"/>
  <c r="H8" i="7"/>
  <c r="H9" i="7"/>
  <c r="H10" i="7"/>
  <c r="H11" i="7"/>
  <c r="H12" i="7"/>
  <c r="H13" i="7"/>
  <c r="H14" i="7"/>
  <c r="H15" i="7"/>
  <c r="H16" i="7"/>
  <c r="H17" i="7"/>
  <c r="H18" i="7"/>
  <c r="H19" i="7"/>
  <c r="H20" i="7"/>
  <c r="H21" i="7"/>
  <c r="H22" i="7"/>
  <c r="H23" i="7"/>
  <c r="H24" i="7"/>
  <c r="H25" i="7"/>
  <c r="H26" i="7"/>
  <c r="H27" i="7"/>
  <c r="H28" i="7"/>
  <c r="H29" i="7"/>
  <c r="H30" i="7"/>
  <c r="H31" i="7"/>
  <c r="H32" i="7"/>
  <c r="H33" i="7"/>
  <c r="H34" i="7"/>
  <c r="H35" i="7"/>
  <c r="H36" i="7"/>
  <c r="H37" i="7"/>
  <c r="H38" i="7"/>
  <c r="H39" i="7"/>
  <c r="H40" i="7"/>
  <c r="H41" i="7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2" i="7"/>
  <c r="H63" i="7"/>
  <c r="H64" i="7"/>
  <c r="H65" i="7"/>
  <c r="H66" i="7"/>
  <c r="H67" i="7"/>
  <c r="H68" i="7"/>
  <c r="H69" i="7"/>
  <c r="H70" i="7"/>
  <c r="H71" i="7"/>
  <c r="H72" i="7"/>
  <c r="H73" i="7"/>
  <c r="H74" i="7"/>
  <c r="H75" i="7"/>
  <c r="H76" i="7"/>
  <c r="H77" i="7"/>
  <c r="H78" i="7"/>
  <c r="H79" i="7"/>
  <c r="H80" i="7"/>
  <c r="H81" i="7"/>
  <c r="H82" i="7"/>
  <c r="H83" i="7"/>
  <c r="H84" i="7"/>
  <c r="H85" i="7"/>
  <c r="H86" i="7"/>
  <c r="H87" i="7"/>
  <c r="H88" i="7"/>
  <c r="H89" i="7"/>
  <c r="H90" i="7"/>
  <c r="H91" i="7"/>
  <c r="H92" i="7"/>
  <c r="H93" i="7"/>
  <c r="H94" i="7"/>
  <c r="H95" i="7"/>
  <c r="H96" i="7"/>
  <c r="H97" i="7"/>
  <c r="H98" i="7"/>
  <c r="H99" i="7"/>
  <c r="H100" i="7"/>
  <c r="H101" i="7"/>
  <c r="H102" i="7"/>
  <c r="H103" i="7"/>
  <c r="H104" i="7"/>
  <c r="H105" i="7"/>
  <c r="H106" i="7"/>
  <c r="H107" i="7"/>
  <c r="H108" i="7"/>
  <c r="H109" i="7"/>
  <c r="H110" i="7"/>
  <c r="H111" i="7"/>
  <c r="H112" i="7"/>
  <c r="H113" i="7"/>
  <c r="H114" i="7"/>
  <c r="H115" i="7"/>
  <c r="H116" i="7"/>
  <c r="H117" i="7"/>
  <c r="H118" i="7"/>
  <c r="H119" i="7"/>
  <c r="H120" i="7"/>
  <c r="H121" i="7"/>
  <c r="H122" i="7"/>
  <c r="H123" i="7"/>
  <c r="H124" i="7"/>
  <c r="H125" i="7"/>
  <c r="H126" i="7"/>
  <c r="H127" i="7"/>
  <c r="H128" i="7"/>
  <c r="H129" i="7"/>
  <c r="H130" i="7"/>
  <c r="H131" i="7"/>
  <c r="H132" i="7"/>
  <c r="H133" i="7"/>
  <c r="H134" i="7"/>
  <c r="H135" i="7"/>
  <c r="H136" i="7"/>
  <c r="H137" i="7"/>
  <c r="H138" i="7"/>
  <c r="H139" i="7"/>
  <c r="H140" i="7"/>
  <c r="H141" i="7"/>
  <c r="H142" i="7"/>
  <c r="H143" i="7"/>
  <c r="H144" i="7"/>
  <c r="H145" i="7"/>
  <c r="H146" i="7"/>
  <c r="H147" i="7"/>
  <c r="H148" i="7"/>
  <c r="H149" i="7"/>
  <c r="H150" i="7"/>
  <c r="H151" i="7"/>
  <c r="H152" i="7"/>
  <c r="H153" i="7"/>
  <c r="H154" i="7"/>
  <c r="H155" i="7"/>
  <c r="H156" i="7"/>
  <c r="H157" i="7"/>
  <c r="H158" i="7"/>
  <c r="H159" i="7"/>
  <c r="H160" i="7"/>
  <c r="H161" i="7"/>
  <c r="H162" i="7"/>
  <c r="H163" i="7"/>
  <c r="H164" i="7"/>
  <c r="H165" i="7"/>
  <c r="H166" i="7"/>
  <c r="H167" i="7"/>
  <c r="H168" i="7"/>
  <c r="H169" i="7"/>
  <c r="H170" i="7"/>
  <c r="H171" i="7"/>
  <c r="H172" i="7"/>
  <c r="H173" i="7"/>
  <c r="H174" i="7"/>
  <c r="H175" i="7"/>
  <c r="H176" i="7"/>
  <c r="H177" i="7"/>
  <c r="H178" i="7"/>
  <c r="H179" i="7"/>
  <c r="H180" i="7"/>
  <c r="H181" i="7"/>
  <c r="H182" i="7"/>
  <c r="H183" i="7"/>
  <c r="H184" i="7"/>
  <c r="H185" i="7"/>
  <c r="H186" i="7"/>
  <c r="H187" i="7"/>
  <c r="H188" i="7"/>
  <c r="H189" i="7"/>
  <c r="H190" i="7"/>
  <c r="H191" i="7"/>
  <c r="H192" i="7"/>
  <c r="H193" i="7"/>
  <c r="H194" i="7"/>
  <c r="H195" i="7"/>
  <c r="H196" i="7"/>
  <c r="H197" i="7"/>
  <c r="H198" i="7"/>
  <c r="H199" i="7"/>
  <c r="H200" i="7"/>
  <c r="H201" i="7"/>
  <c r="H202" i="7"/>
  <c r="H203" i="7"/>
  <c r="H204" i="7"/>
  <c r="H205" i="7"/>
  <c r="H206" i="7"/>
  <c r="H207" i="7"/>
  <c r="H208" i="7"/>
  <c r="H209" i="7"/>
  <c r="H210" i="7"/>
  <c r="H211" i="7"/>
  <c r="H212" i="7"/>
  <c r="H213" i="7"/>
  <c r="H214" i="7"/>
  <c r="H215" i="7"/>
  <c r="H216" i="7"/>
  <c r="H217" i="7"/>
  <c r="H218" i="7"/>
  <c r="H219" i="7"/>
  <c r="H220" i="7"/>
  <c r="H221" i="7"/>
  <c r="H222" i="7"/>
  <c r="H223" i="7"/>
  <c r="H224" i="7"/>
  <c r="H225" i="7"/>
  <c r="H226" i="7"/>
  <c r="H227" i="7"/>
  <c r="H228" i="7"/>
  <c r="H229" i="7"/>
  <c r="H230" i="7"/>
  <c r="H231" i="7"/>
  <c r="H232" i="7"/>
  <c r="H233" i="7"/>
  <c r="H234" i="7"/>
  <c r="H235" i="7"/>
  <c r="H236" i="7"/>
  <c r="H237" i="7"/>
  <c r="H238" i="7"/>
  <c r="H239" i="7"/>
  <c r="H240" i="7"/>
  <c r="H241" i="7"/>
  <c r="H242" i="7"/>
  <c r="H243" i="7"/>
  <c r="J16" i="1" l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L5" i="4" l="1"/>
  <c r="H7" i="7"/>
  <c r="H6" i="7"/>
  <c r="H5" i="7"/>
  <c r="L50" i="2"/>
  <c r="M53" i="2"/>
  <c r="L53" i="2"/>
  <c r="K53" i="2"/>
  <c r="J53" i="2"/>
  <c r="I53" i="2"/>
  <c r="H53" i="2"/>
  <c r="G53" i="2"/>
  <c r="F53" i="2"/>
  <c r="E53" i="2"/>
  <c r="D53" i="2"/>
  <c r="C53" i="2"/>
  <c r="B53" i="2"/>
  <c r="M52" i="2"/>
  <c r="L52" i="2"/>
  <c r="K52" i="2"/>
  <c r="J52" i="2"/>
  <c r="I52" i="2"/>
  <c r="H52" i="2"/>
  <c r="G52" i="2"/>
  <c r="F52" i="2"/>
  <c r="E52" i="2"/>
  <c r="D52" i="2"/>
  <c r="C52" i="2"/>
  <c r="B52" i="2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4" i="7"/>
  <c r="C51" i="2" s="1"/>
  <c r="H4" i="7"/>
  <c r="O19" i="5"/>
  <c r="E19" i="5"/>
  <c r="F19" i="5"/>
  <c r="H19" i="5"/>
  <c r="I19" i="5"/>
  <c r="K19" i="5"/>
  <c r="L19" i="5"/>
  <c r="N19" i="5"/>
  <c r="E22" i="5"/>
  <c r="F22" i="5"/>
  <c r="H22" i="5"/>
  <c r="I22" i="5"/>
  <c r="K22" i="5"/>
  <c r="L22" i="5"/>
  <c r="N22" i="5"/>
  <c r="O22" i="5"/>
  <c r="E21" i="5"/>
  <c r="F21" i="5"/>
  <c r="H21" i="5"/>
  <c r="I21" i="5"/>
  <c r="K21" i="5"/>
  <c r="L21" i="5"/>
  <c r="N21" i="5"/>
  <c r="O21" i="5"/>
  <c r="E20" i="5"/>
  <c r="F20" i="5"/>
  <c r="H20" i="5"/>
  <c r="I20" i="5"/>
  <c r="K20" i="5"/>
  <c r="L20" i="5"/>
  <c r="N20" i="5"/>
  <c r="O20" i="5"/>
  <c r="D6" i="5"/>
  <c r="E6" i="5"/>
  <c r="F6" i="5"/>
  <c r="G6" i="5"/>
  <c r="H6" i="5"/>
  <c r="I6" i="5"/>
  <c r="J6" i="5"/>
  <c r="K6" i="5"/>
  <c r="D7" i="5"/>
  <c r="D8" i="5"/>
  <c r="D9" i="5"/>
  <c r="D10" i="5"/>
  <c r="D11" i="5"/>
  <c r="D12" i="5"/>
  <c r="L6" i="5"/>
  <c r="M6" i="5"/>
  <c r="N6" i="5"/>
  <c r="O6" i="5"/>
  <c r="E7" i="5"/>
  <c r="F7" i="5"/>
  <c r="G7" i="5"/>
  <c r="H7" i="5"/>
  <c r="I7" i="5"/>
  <c r="J7" i="5"/>
  <c r="K7" i="5"/>
  <c r="L7" i="5"/>
  <c r="M7" i="5"/>
  <c r="N7" i="5"/>
  <c r="O7" i="5"/>
  <c r="E8" i="5"/>
  <c r="F8" i="5"/>
  <c r="G8" i="5"/>
  <c r="H8" i="5"/>
  <c r="I8" i="5"/>
  <c r="J8" i="5"/>
  <c r="K8" i="5"/>
  <c r="L8" i="5"/>
  <c r="M8" i="5"/>
  <c r="N8" i="5"/>
  <c r="O8" i="5"/>
  <c r="E9" i="5"/>
  <c r="F9" i="5"/>
  <c r="G9" i="5"/>
  <c r="H9" i="5"/>
  <c r="I9" i="5"/>
  <c r="J9" i="5"/>
  <c r="K9" i="5"/>
  <c r="L9" i="5"/>
  <c r="M9" i="5"/>
  <c r="N9" i="5"/>
  <c r="O9" i="5"/>
  <c r="E10" i="5"/>
  <c r="F10" i="5"/>
  <c r="G10" i="5"/>
  <c r="H10" i="5"/>
  <c r="I10" i="5"/>
  <c r="J10" i="5"/>
  <c r="K10" i="5"/>
  <c r="L10" i="5"/>
  <c r="M10" i="5"/>
  <c r="N10" i="5"/>
  <c r="O10" i="5"/>
  <c r="E11" i="5"/>
  <c r="F11" i="5"/>
  <c r="G11" i="5"/>
  <c r="H11" i="5"/>
  <c r="I11" i="5"/>
  <c r="J11" i="5"/>
  <c r="K11" i="5"/>
  <c r="L11" i="5"/>
  <c r="M11" i="5"/>
  <c r="N11" i="5"/>
  <c r="O11" i="5"/>
  <c r="E12" i="5"/>
  <c r="F12" i="5"/>
  <c r="G12" i="5"/>
  <c r="H12" i="5"/>
  <c r="I12" i="5"/>
  <c r="J12" i="5"/>
  <c r="K12" i="5"/>
  <c r="L12" i="5"/>
  <c r="M12" i="5"/>
  <c r="N12" i="5"/>
  <c r="O12" i="5"/>
  <c r="I5" i="4"/>
  <c r="G51" i="2" l="1"/>
  <c r="L51" i="2"/>
  <c r="N15" i="5" s="1"/>
  <c r="D50" i="2"/>
  <c r="I50" i="2"/>
  <c r="F50" i="2"/>
  <c r="D51" i="2"/>
  <c r="D16" i="5"/>
  <c r="L16" i="5"/>
  <c r="E16" i="5"/>
  <c r="M16" i="5"/>
  <c r="F16" i="5"/>
  <c r="N16" i="5"/>
  <c r="J16" i="5"/>
  <c r="O16" i="5"/>
  <c r="G16" i="5"/>
  <c r="K16" i="5"/>
  <c r="H16" i="5"/>
  <c r="I16" i="5"/>
  <c r="B50" i="2"/>
  <c r="G50" i="2"/>
  <c r="J51" i="2"/>
  <c r="B51" i="2"/>
  <c r="I51" i="2"/>
  <c r="M50" i="2"/>
  <c r="E50" i="2"/>
  <c r="H51" i="2"/>
  <c r="K50" i="2"/>
  <c r="C50" i="2"/>
  <c r="E15" i="5" s="1"/>
  <c r="F51" i="2"/>
  <c r="J50" i="2"/>
  <c r="M51" i="2"/>
  <c r="E51" i="2"/>
  <c r="H50" i="2"/>
  <c r="K51" i="2"/>
  <c r="H5" i="5"/>
  <c r="K5" i="5"/>
  <c r="I5" i="5"/>
  <c r="D5" i="5"/>
  <c r="F5" i="5"/>
  <c r="O5" i="5"/>
  <c r="E5" i="5"/>
  <c r="G5" i="5"/>
  <c r="N5" i="5"/>
  <c r="J5" i="5"/>
  <c r="M5" i="5"/>
  <c r="L5" i="5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O35" i="4"/>
  <c r="O36" i="4"/>
  <c r="O37" i="4"/>
  <c r="O38" i="4"/>
  <c r="O39" i="4"/>
  <c r="O40" i="4"/>
  <c r="O41" i="4"/>
  <c r="O42" i="4"/>
  <c r="O43" i="4"/>
  <c r="O44" i="4"/>
  <c r="O45" i="4"/>
  <c r="O46" i="4"/>
  <c r="O47" i="4"/>
  <c r="O48" i="4"/>
  <c r="O49" i="4"/>
  <c r="O50" i="4"/>
  <c r="O51" i="4"/>
  <c r="O52" i="4"/>
  <c r="O53" i="4"/>
  <c r="O54" i="4"/>
  <c r="O55" i="4"/>
  <c r="O56" i="4"/>
  <c r="O57" i="4"/>
  <c r="O58" i="4"/>
  <c r="O59" i="4"/>
  <c r="O60" i="4"/>
  <c r="O61" i="4"/>
  <c r="O62" i="4"/>
  <c r="O63" i="4"/>
  <c r="O64" i="4"/>
  <c r="O65" i="4"/>
  <c r="O66" i="4"/>
  <c r="O67" i="4"/>
  <c r="O68" i="4"/>
  <c r="O69" i="4"/>
  <c r="O70" i="4"/>
  <c r="O71" i="4"/>
  <c r="O72" i="4"/>
  <c r="O73" i="4"/>
  <c r="O74" i="4"/>
  <c r="O75" i="4"/>
  <c r="O76" i="4"/>
  <c r="O77" i="4"/>
  <c r="O78" i="4"/>
  <c r="O79" i="4"/>
  <c r="O80" i="4"/>
  <c r="O81" i="4"/>
  <c r="O82" i="4"/>
  <c r="O83" i="4"/>
  <c r="O84" i="4"/>
  <c r="O85" i="4"/>
  <c r="O86" i="4"/>
  <c r="O87" i="4"/>
  <c r="O88" i="4"/>
  <c r="O89" i="4"/>
  <c r="O90" i="4"/>
  <c r="O91" i="4"/>
  <c r="O92" i="4"/>
  <c r="O93" i="4"/>
  <c r="O94" i="4"/>
  <c r="O95" i="4"/>
  <c r="O96" i="4"/>
  <c r="O97" i="4"/>
  <c r="O98" i="4"/>
  <c r="O99" i="4"/>
  <c r="O100" i="4"/>
  <c r="O101" i="4"/>
  <c r="O102" i="4"/>
  <c r="O103" i="4"/>
  <c r="O104" i="4"/>
  <c r="O105" i="4"/>
  <c r="O106" i="4"/>
  <c r="O107" i="4"/>
  <c r="O108" i="4"/>
  <c r="O109" i="4"/>
  <c r="O110" i="4"/>
  <c r="O111" i="4"/>
  <c r="O112" i="4"/>
  <c r="O113" i="4"/>
  <c r="O114" i="4"/>
  <c r="O115" i="4"/>
  <c r="O116" i="4"/>
  <c r="O117" i="4"/>
  <c r="O118" i="4"/>
  <c r="O119" i="4"/>
  <c r="O120" i="4"/>
  <c r="O121" i="4"/>
  <c r="O122" i="4"/>
  <c r="O123" i="4"/>
  <c r="O124" i="4"/>
  <c r="O125" i="4"/>
  <c r="O126" i="4"/>
  <c r="O127" i="4"/>
  <c r="O128" i="4"/>
  <c r="O129" i="4"/>
  <c r="O130" i="4"/>
  <c r="O131" i="4"/>
  <c r="O132" i="4"/>
  <c r="O133" i="4"/>
  <c r="O134" i="4"/>
  <c r="O135" i="4"/>
  <c r="O136" i="4"/>
  <c r="O137" i="4"/>
  <c r="O138" i="4"/>
  <c r="O139" i="4"/>
  <c r="O140" i="4"/>
  <c r="O141" i="4"/>
  <c r="O142" i="4"/>
  <c r="O143" i="4"/>
  <c r="O144" i="4"/>
  <c r="O145" i="4"/>
  <c r="O146" i="4"/>
  <c r="O147" i="4"/>
  <c r="O148" i="4"/>
  <c r="O149" i="4"/>
  <c r="O150" i="4"/>
  <c r="O151" i="4"/>
  <c r="O152" i="4"/>
  <c r="O153" i="4"/>
  <c r="O154" i="4"/>
  <c r="O155" i="4"/>
  <c r="O156" i="4"/>
  <c r="O157" i="4"/>
  <c r="O158" i="4"/>
  <c r="O159" i="4"/>
  <c r="O160" i="4"/>
  <c r="O161" i="4"/>
  <c r="O162" i="4"/>
  <c r="O163" i="4"/>
  <c r="O164" i="4"/>
  <c r="O165" i="4"/>
  <c r="O166" i="4"/>
  <c r="O167" i="4"/>
  <c r="O168" i="4"/>
  <c r="O169" i="4"/>
  <c r="O170" i="4"/>
  <c r="O171" i="4"/>
  <c r="O172" i="4"/>
  <c r="O173" i="4"/>
  <c r="O174" i="4"/>
  <c r="O175" i="4"/>
  <c r="O176" i="4"/>
  <c r="O177" i="4"/>
  <c r="O178" i="4"/>
  <c r="O179" i="4"/>
  <c r="O180" i="4"/>
  <c r="O181" i="4"/>
  <c r="O182" i="4"/>
  <c r="O183" i="4"/>
  <c r="O184" i="4"/>
  <c r="O185" i="4"/>
  <c r="O186" i="4"/>
  <c r="O187" i="4"/>
  <c r="O188" i="4"/>
  <c r="O189" i="4"/>
  <c r="O190" i="4"/>
  <c r="O191" i="4"/>
  <c r="O192" i="4"/>
  <c r="O193" i="4"/>
  <c r="O194" i="4"/>
  <c r="O195" i="4"/>
  <c r="O196" i="4"/>
  <c r="O197" i="4"/>
  <c r="O198" i="4"/>
  <c r="O199" i="4"/>
  <c r="O200" i="4"/>
  <c r="O201" i="4"/>
  <c r="O202" i="4"/>
  <c r="O203" i="4"/>
  <c r="O204" i="4"/>
  <c r="L4" i="1"/>
  <c r="I6" i="4"/>
  <c r="L6" i="4"/>
  <c r="I7" i="4"/>
  <c r="L7" i="4"/>
  <c r="I8" i="4"/>
  <c r="L8" i="4"/>
  <c r="I9" i="4"/>
  <c r="L9" i="4"/>
  <c r="I10" i="4"/>
  <c r="L10" i="4"/>
  <c r="I11" i="4"/>
  <c r="L11" i="4"/>
  <c r="I12" i="4"/>
  <c r="L12" i="4"/>
  <c r="I13" i="4"/>
  <c r="L13" i="4"/>
  <c r="I14" i="4"/>
  <c r="L14" i="4"/>
  <c r="I15" i="4"/>
  <c r="L15" i="4"/>
  <c r="I16" i="4"/>
  <c r="L16" i="4"/>
  <c r="I17" i="4"/>
  <c r="L17" i="4"/>
  <c r="I18" i="4"/>
  <c r="L18" i="4"/>
  <c r="I19" i="4"/>
  <c r="L19" i="4"/>
  <c r="I20" i="4"/>
  <c r="L20" i="4"/>
  <c r="I21" i="4"/>
  <c r="L21" i="4"/>
  <c r="I22" i="4"/>
  <c r="L22" i="4"/>
  <c r="I23" i="4"/>
  <c r="L23" i="4"/>
  <c r="I24" i="4"/>
  <c r="L24" i="4"/>
  <c r="I25" i="4"/>
  <c r="L25" i="4"/>
  <c r="I26" i="4"/>
  <c r="L26" i="4"/>
  <c r="I27" i="4"/>
  <c r="L27" i="4"/>
  <c r="I28" i="4"/>
  <c r="L28" i="4"/>
  <c r="I29" i="4"/>
  <c r="L29" i="4"/>
  <c r="I30" i="4"/>
  <c r="L30" i="4"/>
  <c r="I31" i="4"/>
  <c r="L31" i="4"/>
  <c r="I32" i="4"/>
  <c r="L32" i="4"/>
  <c r="I33" i="4"/>
  <c r="L33" i="4"/>
  <c r="I34" i="4"/>
  <c r="L34" i="4"/>
  <c r="I35" i="4"/>
  <c r="L35" i="4"/>
  <c r="I36" i="4"/>
  <c r="L36" i="4"/>
  <c r="I37" i="4"/>
  <c r="L37" i="4"/>
  <c r="I38" i="4"/>
  <c r="L38" i="4"/>
  <c r="I39" i="4"/>
  <c r="L39" i="4"/>
  <c r="I40" i="4"/>
  <c r="L40" i="4"/>
  <c r="I41" i="4"/>
  <c r="L41" i="4"/>
  <c r="I42" i="4"/>
  <c r="L42" i="4"/>
  <c r="I43" i="4"/>
  <c r="L43" i="4"/>
  <c r="I44" i="4"/>
  <c r="L44" i="4"/>
  <c r="I45" i="4"/>
  <c r="L45" i="4"/>
  <c r="I46" i="4"/>
  <c r="L46" i="4"/>
  <c r="I47" i="4"/>
  <c r="L47" i="4"/>
  <c r="I48" i="4"/>
  <c r="L48" i="4"/>
  <c r="I49" i="4"/>
  <c r="L49" i="4"/>
  <c r="I50" i="4"/>
  <c r="L50" i="4"/>
  <c r="I51" i="4"/>
  <c r="L51" i="4"/>
  <c r="I52" i="4"/>
  <c r="L52" i="4"/>
  <c r="I53" i="4"/>
  <c r="L53" i="4"/>
  <c r="I54" i="4"/>
  <c r="L54" i="4"/>
  <c r="I55" i="4"/>
  <c r="L55" i="4"/>
  <c r="I56" i="4"/>
  <c r="L56" i="4"/>
  <c r="I57" i="4"/>
  <c r="L57" i="4"/>
  <c r="I58" i="4"/>
  <c r="L58" i="4"/>
  <c r="I59" i="4"/>
  <c r="L59" i="4"/>
  <c r="I60" i="4"/>
  <c r="L60" i="4"/>
  <c r="I61" i="4"/>
  <c r="L61" i="4"/>
  <c r="I62" i="4"/>
  <c r="L62" i="4"/>
  <c r="I63" i="4"/>
  <c r="L63" i="4"/>
  <c r="I64" i="4"/>
  <c r="L64" i="4"/>
  <c r="I65" i="4"/>
  <c r="L65" i="4"/>
  <c r="I66" i="4"/>
  <c r="L66" i="4"/>
  <c r="I67" i="4"/>
  <c r="L67" i="4"/>
  <c r="I68" i="4"/>
  <c r="L68" i="4"/>
  <c r="I69" i="4"/>
  <c r="L69" i="4"/>
  <c r="I70" i="4"/>
  <c r="L70" i="4"/>
  <c r="I71" i="4"/>
  <c r="L71" i="4"/>
  <c r="I72" i="4"/>
  <c r="L72" i="4"/>
  <c r="I73" i="4"/>
  <c r="L73" i="4"/>
  <c r="I74" i="4"/>
  <c r="L74" i="4"/>
  <c r="I75" i="4"/>
  <c r="L75" i="4"/>
  <c r="I76" i="4"/>
  <c r="L76" i="4"/>
  <c r="I77" i="4"/>
  <c r="L77" i="4"/>
  <c r="I78" i="4"/>
  <c r="L78" i="4"/>
  <c r="I79" i="4"/>
  <c r="L79" i="4"/>
  <c r="I80" i="4"/>
  <c r="L80" i="4"/>
  <c r="I81" i="4"/>
  <c r="L81" i="4"/>
  <c r="I82" i="4"/>
  <c r="L82" i="4"/>
  <c r="I83" i="4"/>
  <c r="L83" i="4"/>
  <c r="I84" i="4"/>
  <c r="L84" i="4"/>
  <c r="I85" i="4"/>
  <c r="L85" i="4"/>
  <c r="I86" i="4"/>
  <c r="L86" i="4"/>
  <c r="I87" i="4"/>
  <c r="L87" i="4"/>
  <c r="I88" i="4"/>
  <c r="L88" i="4"/>
  <c r="I89" i="4"/>
  <c r="L89" i="4"/>
  <c r="I90" i="4"/>
  <c r="L90" i="4"/>
  <c r="I91" i="4"/>
  <c r="L91" i="4"/>
  <c r="I92" i="4"/>
  <c r="L92" i="4"/>
  <c r="I93" i="4"/>
  <c r="L93" i="4"/>
  <c r="I94" i="4"/>
  <c r="L94" i="4"/>
  <c r="I95" i="4"/>
  <c r="L95" i="4"/>
  <c r="I96" i="4"/>
  <c r="L96" i="4"/>
  <c r="I97" i="4"/>
  <c r="L97" i="4"/>
  <c r="I98" i="4"/>
  <c r="L98" i="4"/>
  <c r="I99" i="4"/>
  <c r="L99" i="4"/>
  <c r="I100" i="4"/>
  <c r="L100" i="4"/>
  <c r="I101" i="4"/>
  <c r="L101" i="4"/>
  <c r="I102" i="4"/>
  <c r="L102" i="4"/>
  <c r="I103" i="4"/>
  <c r="L103" i="4"/>
  <c r="I104" i="4"/>
  <c r="L104" i="4"/>
  <c r="I105" i="4"/>
  <c r="L105" i="4"/>
  <c r="I106" i="4"/>
  <c r="L106" i="4"/>
  <c r="I107" i="4"/>
  <c r="L107" i="4"/>
  <c r="I108" i="4"/>
  <c r="L108" i="4"/>
  <c r="I109" i="4"/>
  <c r="L109" i="4"/>
  <c r="I110" i="4"/>
  <c r="L110" i="4"/>
  <c r="I111" i="4"/>
  <c r="L111" i="4"/>
  <c r="I112" i="4"/>
  <c r="L112" i="4"/>
  <c r="I113" i="4"/>
  <c r="L113" i="4"/>
  <c r="I114" i="4"/>
  <c r="L114" i="4"/>
  <c r="I115" i="4"/>
  <c r="L115" i="4"/>
  <c r="I116" i="4"/>
  <c r="L116" i="4"/>
  <c r="I117" i="4"/>
  <c r="L117" i="4"/>
  <c r="I118" i="4"/>
  <c r="L118" i="4"/>
  <c r="I119" i="4"/>
  <c r="L119" i="4"/>
  <c r="I120" i="4"/>
  <c r="L120" i="4"/>
  <c r="I121" i="4"/>
  <c r="L121" i="4"/>
  <c r="I122" i="4"/>
  <c r="L122" i="4"/>
  <c r="I123" i="4"/>
  <c r="L123" i="4"/>
  <c r="I124" i="4"/>
  <c r="L124" i="4"/>
  <c r="I125" i="4"/>
  <c r="L125" i="4"/>
  <c r="I126" i="4"/>
  <c r="L126" i="4"/>
  <c r="I127" i="4"/>
  <c r="L127" i="4"/>
  <c r="I128" i="4"/>
  <c r="L128" i="4"/>
  <c r="I129" i="4"/>
  <c r="L129" i="4"/>
  <c r="I130" i="4"/>
  <c r="L130" i="4"/>
  <c r="I131" i="4"/>
  <c r="L131" i="4"/>
  <c r="I132" i="4"/>
  <c r="L132" i="4"/>
  <c r="I133" i="4"/>
  <c r="L133" i="4"/>
  <c r="I134" i="4"/>
  <c r="L134" i="4"/>
  <c r="I135" i="4"/>
  <c r="L135" i="4"/>
  <c r="I136" i="4"/>
  <c r="L136" i="4"/>
  <c r="I137" i="4"/>
  <c r="L137" i="4"/>
  <c r="I138" i="4"/>
  <c r="L138" i="4"/>
  <c r="I139" i="4"/>
  <c r="L139" i="4"/>
  <c r="I140" i="4"/>
  <c r="L140" i="4"/>
  <c r="I141" i="4"/>
  <c r="L141" i="4"/>
  <c r="I142" i="4"/>
  <c r="L142" i="4"/>
  <c r="I143" i="4"/>
  <c r="L143" i="4"/>
  <c r="I144" i="4"/>
  <c r="L144" i="4"/>
  <c r="I145" i="4"/>
  <c r="L145" i="4"/>
  <c r="I146" i="4"/>
  <c r="L146" i="4"/>
  <c r="I147" i="4"/>
  <c r="L147" i="4"/>
  <c r="I148" i="4"/>
  <c r="L148" i="4"/>
  <c r="I149" i="4"/>
  <c r="L149" i="4"/>
  <c r="I150" i="4"/>
  <c r="L150" i="4"/>
  <c r="I151" i="4"/>
  <c r="L151" i="4"/>
  <c r="I152" i="4"/>
  <c r="L152" i="4"/>
  <c r="I153" i="4"/>
  <c r="L153" i="4"/>
  <c r="I154" i="4"/>
  <c r="L154" i="4"/>
  <c r="I155" i="4"/>
  <c r="L155" i="4"/>
  <c r="I156" i="4"/>
  <c r="L156" i="4"/>
  <c r="I157" i="4"/>
  <c r="L157" i="4"/>
  <c r="I158" i="4"/>
  <c r="L158" i="4"/>
  <c r="I159" i="4"/>
  <c r="L159" i="4"/>
  <c r="I160" i="4"/>
  <c r="L160" i="4"/>
  <c r="I161" i="4"/>
  <c r="L161" i="4"/>
  <c r="I162" i="4"/>
  <c r="L162" i="4"/>
  <c r="I163" i="4"/>
  <c r="L163" i="4"/>
  <c r="I164" i="4"/>
  <c r="L164" i="4"/>
  <c r="I165" i="4"/>
  <c r="L165" i="4"/>
  <c r="I166" i="4"/>
  <c r="L166" i="4"/>
  <c r="I167" i="4"/>
  <c r="L167" i="4"/>
  <c r="I168" i="4"/>
  <c r="L168" i="4"/>
  <c r="I169" i="4"/>
  <c r="L169" i="4"/>
  <c r="I170" i="4"/>
  <c r="L170" i="4"/>
  <c r="I171" i="4"/>
  <c r="L171" i="4"/>
  <c r="I172" i="4"/>
  <c r="L172" i="4"/>
  <c r="I173" i="4"/>
  <c r="L173" i="4"/>
  <c r="I174" i="4"/>
  <c r="L174" i="4"/>
  <c r="I175" i="4"/>
  <c r="L175" i="4"/>
  <c r="I176" i="4"/>
  <c r="L176" i="4"/>
  <c r="I177" i="4"/>
  <c r="L177" i="4"/>
  <c r="I178" i="4"/>
  <c r="L178" i="4"/>
  <c r="I179" i="4"/>
  <c r="L179" i="4"/>
  <c r="I180" i="4"/>
  <c r="L180" i="4"/>
  <c r="I181" i="4"/>
  <c r="L181" i="4"/>
  <c r="I182" i="4"/>
  <c r="L182" i="4"/>
  <c r="I183" i="4"/>
  <c r="L183" i="4"/>
  <c r="I184" i="4"/>
  <c r="L184" i="4"/>
  <c r="I185" i="4"/>
  <c r="L185" i="4"/>
  <c r="I186" i="4"/>
  <c r="L186" i="4"/>
  <c r="I187" i="4"/>
  <c r="L187" i="4"/>
  <c r="I188" i="4"/>
  <c r="L188" i="4"/>
  <c r="I189" i="4"/>
  <c r="L189" i="4"/>
  <c r="I190" i="4"/>
  <c r="L190" i="4"/>
  <c r="I191" i="4"/>
  <c r="L191" i="4"/>
  <c r="I192" i="4"/>
  <c r="L192" i="4"/>
  <c r="I193" i="4"/>
  <c r="L193" i="4"/>
  <c r="I194" i="4"/>
  <c r="L194" i="4"/>
  <c r="I195" i="4"/>
  <c r="L195" i="4"/>
  <c r="I196" i="4"/>
  <c r="L196" i="4"/>
  <c r="I197" i="4"/>
  <c r="L197" i="4"/>
  <c r="I198" i="4"/>
  <c r="L198" i="4"/>
  <c r="I199" i="4"/>
  <c r="L199" i="4"/>
  <c r="I200" i="4"/>
  <c r="L200" i="4"/>
  <c r="I201" i="4"/>
  <c r="L201" i="4"/>
  <c r="I202" i="4"/>
  <c r="L202" i="4"/>
  <c r="I203" i="4"/>
  <c r="L203" i="4"/>
  <c r="I204" i="4"/>
  <c r="L204" i="4"/>
  <c r="I15" i="5" l="1"/>
  <c r="K15" i="5"/>
  <c r="F15" i="5"/>
  <c r="H15" i="5"/>
  <c r="O15" i="5"/>
  <c r="L15" i="5"/>
  <c r="J15" i="5"/>
  <c r="M15" i="5"/>
  <c r="D15" i="5"/>
  <c r="G15" i="5"/>
  <c r="D43" i="2"/>
  <c r="H44" i="2"/>
  <c r="M44" i="2"/>
  <c r="I44" i="2"/>
  <c r="G44" i="2"/>
  <c r="J44" i="2"/>
  <c r="K44" i="2"/>
  <c r="C44" i="2"/>
  <c r="L44" i="2"/>
  <c r="E44" i="2"/>
  <c r="F44" i="2"/>
  <c r="B44" i="2"/>
  <c r="D44" i="2"/>
  <c r="J43" i="2"/>
  <c r="C47" i="2"/>
  <c r="K47" i="2"/>
  <c r="G46" i="2"/>
  <c r="C45" i="2"/>
  <c r="L45" i="2"/>
  <c r="H40" i="2"/>
  <c r="D39" i="2"/>
  <c r="L39" i="2"/>
  <c r="F45" i="2"/>
  <c r="B39" i="2"/>
  <c r="H45" i="2"/>
  <c r="L40" i="2"/>
  <c r="G43" i="2"/>
  <c r="D46" i="2"/>
  <c r="F38" i="2"/>
  <c r="H25" i="5" s="1"/>
  <c r="J39" i="2"/>
  <c r="K43" i="2"/>
  <c r="D47" i="2"/>
  <c r="L47" i="2"/>
  <c r="H46" i="2"/>
  <c r="E45" i="2"/>
  <c r="M45" i="2"/>
  <c r="I40" i="2"/>
  <c r="E39" i="2"/>
  <c r="M39" i="2"/>
  <c r="B45" i="2"/>
  <c r="J40" i="2"/>
  <c r="K46" i="2"/>
  <c r="M38" i="2"/>
  <c r="O25" i="5" s="1"/>
  <c r="H47" i="2"/>
  <c r="I39" i="2"/>
  <c r="F40" i="2"/>
  <c r="H27" i="5" s="1"/>
  <c r="B38" i="2"/>
  <c r="D25" i="5" s="1"/>
  <c r="C43" i="2"/>
  <c r="L43" i="2"/>
  <c r="E47" i="2"/>
  <c r="M47" i="2"/>
  <c r="I46" i="2"/>
  <c r="D40" i="2"/>
  <c r="E43" i="2"/>
  <c r="M43" i="2"/>
  <c r="F47" i="2"/>
  <c r="B47" i="2"/>
  <c r="J46" i="2"/>
  <c r="G45" i="2"/>
  <c r="C40" i="2"/>
  <c r="K40" i="2"/>
  <c r="G39" i="2"/>
  <c r="D38" i="2"/>
  <c r="F25" i="5" s="1"/>
  <c r="L38" i="2"/>
  <c r="N25" i="5" s="1"/>
  <c r="F43" i="2"/>
  <c r="B43" i="2"/>
  <c r="G47" i="2"/>
  <c r="C46" i="2"/>
  <c r="H39" i="2"/>
  <c r="I45" i="2"/>
  <c r="E40" i="2"/>
  <c r="C38" i="2"/>
  <c r="E25" i="5" s="1"/>
  <c r="B40" i="2"/>
  <c r="H43" i="2"/>
  <c r="I47" i="2"/>
  <c r="E46" i="2"/>
  <c r="M46" i="2"/>
  <c r="J45" i="2"/>
  <c r="I43" i="2"/>
  <c r="J47" i="2"/>
  <c r="F46" i="2"/>
  <c r="H31" i="5" s="1"/>
  <c r="B46" i="2"/>
  <c r="K45" i="2"/>
  <c r="G40" i="2"/>
  <c r="C39" i="2"/>
  <c r="K39" i="2"/>
  <c r="H38" i="2"/>
  <c r="J25" i="5" s="1"/>
  <c r="I38" i="2"/>
  <c r="K25" i="5" s="1"/>
  <c r="J38" i="2"/>
  <c r="L25" i="5" s="1"/>
  <c r="F39" i="2"/>
  <c r="H26" i="5" s="1"/>
  <c r="K38" i="2"/>
  <c r="M25" i="5" s="1"/>
  <c r="E38" i="2"/>
  <c r="G25" i="5" s="1"/>
  <c r="L46" i="2"/>
  <c r="M40" i="2"/>
  <c r="O27" i="5" s="1"/>
  <c r="G38" i="2"/>
  <c r="I25" i="5" s="1"/>
  <c r="D45" i="2"/>
  <c r="E34" i="2"/>
  <c r="H34" i="2"/>
  <c r="K34" i="2"/>
  <c r="E35" i="2"/>
  <c r="H35" i="2"/>
  <c r="K35" i="2"/>
  <c r="E33" i="2"/>
  <c r="H33" i="2"/>
  <c r="K33" i="2"/>
  <c r="E32" i="2"/>
  <c r="H32" i="2"/>
  <c r="K32" i="2"/>
  <c r="E30" i="2"/>
  <c r="H30" i="2"/>
  <c r="K30" i="2"/>
  <c r="E29" i="2"/>
  <c r="H29" i="2"/>
  <c r="K29" i="2"/>
  <c r="B35" i="2"/>
  <c r="B34" i="2"/>
  <c r="B33" i="2"/>
  <c r="B32" i="2"/>
  <c r="B30" i="2"/>
  <c r="B29" i="2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K4" i="1"/>
  <c r="J4" i="1" s="1"/>
  <c r="K5" i="1"/>
  <c r="J5" i="1" s="1"/>
  <c r="K6" i="1"/>
  <c r="J6" i="1" s="1"/>
  <c r="K7" i="1"/>
  <c r="J7" i="1" s="1"/>
  <c r="K8" i="1"/>
  <c r="J8" i="1" s="1"/>
  <c r="K9" i="1"/>
  <c r="J9" i="1" s="1"/>
  <c r="K10" i="1"/>
  <c r="J10" i="1" s="1"/>
  <c r="K11" i="1"/>
  <c r="J11" i="1" s="1"/>
  <c r="K12" i="1"/>
  <c r="J12" i="1" s="1"/>
  <c r="K13" i="1"/>
  <c r="J13" i="1" s="1"/>
  <c r="K14" i="1"/>
  <c r="J14" i="1" s="1"/>
  <c r="K15" i="1"/>
  <c r="J15" i="1" s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F30" i="5" l="1"/>
  <c r="B6" i="2"/>
  <c r="G6" i="2"/>
  <c r="F6" i="2"/>
  <c r="L6" i="2"/>
  <c r="M6" i="2"/>
  <c r="K6" i="2"/>
  <c r="E6" i="2"/>
  <c r="J6" i="2"/>
  <c r="L35" i="5" s="1"/>
  <c r="D6" i="2"/>
  <c r="F35" i="5" s="1"/>
  <c r="I6" i="2"/>
  <c r="K35" i="5" s="1"/>
  <c r="C6" i="2"/>
  <c r="H6" i="2"/>
  <c r="N31" i="5"/>
  <c r="E26" i="5"/>
  <c r="M26" i="5"/>
  <c r="O31" i="5"/>
  <c r="M27" i="5"/>
  <c r="M31" i="5"/>
  <c r="J30" i="5"/>
  <c r="O26" i="5"/>
  <c r="K30" i="5"/>
  <c r="L30" i="5"/>
  <c r="O30" i="5"/>
  <c r="F31" i="5"/>
  <c r="M30" i="5"/>
  <c r="G27" i="5"/>
  <c r="G26" i="5"/>
  <c r="K26" i="5"/>
  <c r="D31" i="5"/>
  <c r="H30" i="5"/>
  <c r="G31" i="5"/>
  <c r="D27" i="5"/>
  <c r="D30" i="5"/>
  <c r="D26" i="5"/>
  <c r="E28" i="5"/>
  <c r="L26" i="5"/>
  <c r="N26" i="5"/>
  <c r="L28" i="5"/>
  <c r="M28" i="5"/>
  <c r="K27" i="5"/>
  <c r="F26" i="5"/>
  <c r="F28" i="5"/>
  <c r="I28" i="5"/>
  <c r="I26" i="5"/>
  <c r="J26" i="5"/>
  <c r="F27" i="5"/>
  <c r="I27" i="5"/>
  <c r="E31" i="5"/>
  <c r="E27" i="5"/>
  <c r="J27" i="5"/>
  <c r="D28" i="5"/>
  <c r="K28" i="5"/>
  <c r="K31" i="5"/>
  <c r="I30" i="5"/>
  <c r="G30" i="5"/>
  <c r="N30" i="5"/>
  <c r="H28" i="5"/>
  <c r="O28" i="5"/>
  <c r="L31" i="5"/>
  <c r="J31" i="5"/>
  <c r="N27" i="5"/>
  <c r="E30" i="5"/>
  <c r="G28" i="5"/>
  <c r="J28" i="5"/>
  <c r="L27" i="5"/>
  <c r="I31" i="5"/>
  <c r="N28" i="5"/>
  <c r="K31" i="2"/>
  <c r="M22" i="5" s="1"/>
  <c r="J20" i="5"/>
  <c r="H31" i="2"/>
  <c r="J22" i="5" s="1"/>
  <c r="D20" i="5"/>
  <c r="E31" i="2"/>
  <c r="G22" i="5" s="1"/>
  <c r="G20" i="5"/>
  <c r="M19" i="5"/>
  <c r="D21" i="5"/>
  <c r="J19" i="5"/>
  <c r="D19" i="5"/>
  <c r="G19" i="5"/>
  <c r="M21" i="5"/>
  <c r="J21" i="5"/>
  <c r="B31" i="2"/>
  <c r="D22" i="5" s="1"/>
  <c r="M20" i="5"/>
  <c r="G21" i="5"/>
  <c r="D17" i="2"/>
  <c r="D16" i="2"/>
  <c r="D29" i="5"/>
  <c r="H29" i="5"/>
  <c r="K29" i="5"/>
  <c r="F29" i="5"/>
  <c r="L29" i="5"/>
  <c r="O29" i="5"/>
  <c r="I29" i="5"/>
  <c r="G29" i="5"/>
  <c r="N29" i="5"/>
  <c r="E29" i="5"/>
  <c r="M29" i="5"/>
  <c r="J29" i="5"/>
  <c r="H10" i="2"/>
  <c r="I10" i="2"/>
  <c r="B10" i="2"/>
  <c r="J10" i="2"/>
  <c r="C10" i="2"/>
  <c r="K10" i="2"/>
  <c r="D10" i="2"/>
  <c r="L10" i="2"/>
  <c r="F10" i="2"/>
  <c r="M10" i="2"/>
  <c r="E10" i="2"/>
  <c r="G10" i="2"/>
  <c r="I9" i="2"/>
  <c r="D24" i="2"/>
  <c r="E16" i="2"/>
  <c r="E25" i="2"/>
  <c r="F18" i="2"/>
  <c r="F26" i="2"/>
  <c r="G20" i="2"/>
  <c r="H14" i="2"/>
  <c r="H22" i="2"/>
  <c r="I16" i="2"/>
  <c r="I24" i="2"/>
  <c r="J18" i="2"/>
  <c r="J26" i="2"/>
  <c r="K20" i="2"/>
  <c r="L14" i="2"/>
  <c r="L22" i="2"/>
  <c r="M16" i="2"/>
  <c r="M24" i="2"/>
  <c r="G11" i="2"/>
  <c r="J9" i="2"/>
  <c r="D25" i="2"/>
  <c r="E17" i="2"/>
  <c r="E26" i="2"/>
  <c r="F19" i="2"/>
  <c r="G13" i="2"/>
  <c r="G21" i="2"/>
  <c r="H15" i="2"/>
  <c r="H23" i="2"/>
  <c r="I17" i="2"/>
  <c r="I25" i="2"/>
  <c r="J19" i="2"/>
  <c r="K13" i="2"/>
  <c r="K21" i="2"/>
  <c r="L15" i="2"/>
  <c r="L23" i="2"/>
  <c r="M17" i="2"/>
  <c r="M25" i="2"/>
  <c r="H11" i="2"/>
  <c r="K9" i="2"/>
  <c r="D18" i="2"/>
  <c r="B26" i="2"/>
  <c r="E19" i="2"/>
  <c r="E18" i="2"/>
  <c r="F20" i="2"/>
  <c r="G14" i="2"/>
  <c r="G22" i="2"/>
  <c r="H16" i="2"/>
  <c r="H24" i="2"/>
  <c r="I18" i="2"/>
  <c r="I26" i="2"/>
  <c r="J20" i="2"/>
  <c r="K14" i="2"/>
  <c r="K22" i="2"/>
  <c r="L16" i="2"/>
  <c r="L24" i="2"/>
  <c r="M18" i="2"/>
  <c r="M26" i="2"/>
  <c r="I11" i="2"/>
  <c r="D35" i="5"/>
  <c r="D9" i="2"/>
  <c r="B20" i="2"/>
  <c r="L9" i="2"/>
  <c r="D19" i="2"/>
  <c r="C26" i="2"/>
  <c r="E20" i="2"/>
  <c r="F13" i="2"/>
  <c r="F21" i="2"/>
  <c r="G15" i="2"/>
  <c r="G23" i="2"/>
  <c r="H17" i="2"/>
  <c r="H25" i="2"/>
  <c r="I19" i="2"/>
  <c r="J13" i="2"/>
  <c r="J21" i="2"/>
  <c r="K15" i="2"/>
  <c r="K23" i="2"/>
  <c r="L17" i="2"/>
  <c r="L25" i="2"/>
  <c r="M19" i="2"/>
  <c r="B11" i="2"/>
  <c r="J11" i="2"/>
  <c r="E9" i="2"/>
  <c r="M9" i="2"/>
  <c r="D20" i="2"/>
  <c r="D26" i="2"/>
  <c r="E21" i="2"/>
  <c r="F14" i="2"/>
  <c r="F22" i="2"/>
  <c r="G16" i="2"/>
  <c r="G24" i="2"/>
  <c r="H18" i="2"/>
  <c r="H26" i="2"/>
  <c r="I20" i="2"/>
  <c r="J14" i="2"/>
  <c r="J22" i="2"/>
  <c r="K16" i="2"/>
  <c r="K24" i="2"/>
  <c r="L18" i="2"/>
  <c r="L26" i="2"/>
  <c r="M20" i="2"/>
  <c r="C11" i="2"/>
  <c r="K11" i="2"/>
  <c r="F9" i="2"/>
  <c r="D13" i="2"/>
  <c r="D21" i="2"/>
  <c r="E13" i="2"/>
  <c r="E22" i="2"/>
  <c r="F15" i="2"/>
  <c r="F23" i="2"/>
  <c r="G17" i="2"/>
  <c r="G25" i="2"/>
  <c r="H19" i="2"/>
  <c r="I13" i="2"/>
  <c r="I21" i="2"/>
  <c r="J15" i="2"/>
  <c r="J23" i="2"/>
  <c r="K17" i="2"/>
  <c r="K25" i="2"/>
  <c r="L19" i="2"/>
  <c r="M13" i="2"/>
  <c r="M21" i="2"/>
  <c r="D11" i="2"/>
  <c r="L11" i="2"/>
  <c r="G9" i="2"/>
  <c r="D14" i="2"/>
  <c r="D22" i="2"/>
  <c r="E14" i="2"/>
  <c r="E23" i="2"/>
  <c r="F16" i="2"/>
  <c r="F24" i="2"/>
  <c r="G18" i="2"/>
  <c r="G26" i="2"/>
  <c r="H20" i="2"/>
  <c r="I14" i="2"/>
  <c r="I22" i="2"/>
  <c r="J16" i="2"/>
  <c r="J24" i="2"/>
  <c r="K18" i="2"/>
  <c r="K26" i="2"/>
  <c r="L20" i="2"/>
  <c r="M14" i="2"/>
  <c r="M22" i="2"/>
  <c r="E11" i="2"/>
  <c r="M11" i="2"/>
  <c r="H9" i="2"/>
  <c r="D15" i="2"/>
  <c r="D23" i="2"/>
  <c r="E15" i="2"/>
  <c r="E24" i="2"/>
  <c r="F17" i="2"/>
  <c r="F25" i="2"/>
  <c r="G19" i="2"/>
  <c r="H13" i="2"/>
  <c r="H21" i="2"/>
  <c r="I15" i="2"/>
  <c r="I23" i="2"/>
  <c r="J17" i="2"/>
  <c r="J25" i="2"/>
  <c r="K19" i="2"/>
  <c r="L13" i="2"/>
  <c r="L21" i="2"/>
  <c r="M15" i="2"/>
  <c r="M23" i="2"/>
  <c r="F11" i="2"/>
  <c r="N35" i="5"/>
  <c r="J7" i="2"/>
  <c r="F8" i="2"/>
  <c r="C13" i="2"/>
  <c r="C21" i="2"/>
  <c r="G35" i="5"/>
  <c r="O35" i="5"/>
  <c r="K7" i="2"/>
  <c r="B13" i="2"/>
  <c r="B21" i="2"/>
  <c r="C14" i="2"/>
  <c r="C22" i="2"/>
  <c r="C7" i="2"/>
  <c r="H35" i="5"/>
  <c r="E35" i="5"/>
  <c r="L7" i="2"/>
  <c r="B14" i="2"/>
  <c r="C15" i="2"/>
  <c r="C23" i="2"/>
  <c r="I35" i="5"/>
  <c r="B7" i="2"/>
  <c r="M7" i="2"/>
  <c r="I8" i="2"/>
  <c r="B15" i="2"/>
  <c r="B23" i="2"/>
  <c r="C16" i="2"/>
  <c r="C24" i="2"/>
  <c r="B22" i="2"/>
  <c r="J35" i="5"/>
  <c r="E7" i="2"/>
  <c r="I7" i="2"/>
  <c r="J8" i="2"/>
  <c r="B16" i="2"/>
  <c r="B24" i="2"/>
  <c r="C17" i="2"/>
  <c r="C25" i="2"/>
  <c r="D7" i="2"/>
  <c r="F7" i="2"/>
  <c r="K8" i="2"/>
  <c r="B17" i="2"/>
  <c r="B25" i="2"/>
  <c r="C18" i="2"/>
  <c r="C9" i="2"/>
  <c r="G7" i="2"/>
  <c r="L8" i="2"/>
  <c r="N37" i="5" s="1"/>
  <c r="B18" i="2"/>
  <c r="C19" i="2"/>
  <c r="B9" i="2"/>
  <c r="M35" i="5"/>
  <c r="H7" i="2"/>
  <c r="E8" i="2"/>
  <c r="M8" i="2"/>
  <c r="O37" i="5" s="1"/>
  <c r="B19" i="2"/>
  <c r="C20" i="2"/>
  <c r="I347" i="1"/>
  <c r="I339" i="1"/>
  <c r="I331" i="1"/>
  <c r="I323" i="1"/>
  <c r="I315" i="1"/>
  <c r="I307" i="1"/>
  <c r="I299" i="1"/>
  <c r="I291" i="1"/>
  <c r="I283" i="1"/>
  <c r="I275" i="1"/>
  <c r="I267" i="1"/>
  <c r="I259" i="1"/>
  <c r="I251" i="1"/>
  <c r="I243" i="1"/>
  <c r="I235" i="1"/>
  <c r="I227" i="1"/>
  <c r="I219" i="1"/>
  <c r="I211" i="1"/>
  <c r="I203" i="1"/>
  <c r="I195" i="1"/>
  <c r="I187" i="1"/>
  <c r="I179" i="1"/>
  <c r="I171" i="1"/>
  <c r="I163" i="1"/>
  <c r="I155" i="1"/>
  <c r="I147" i="1"/>
  <c r="I139" i="1"/>
  <c r="I131" i="1"/>
  <c r="I123" i="1"/>
  <c r="I115" i="1"/>
  <c r="I107" i="1"/>
  <c r="I99" i="1"/>
  <c r="I91" i="1"/>
  <c r="I83" i="1"/>
  <c r="I75" i="1"/>
  <c r="I67" i="1"/>
  <c r="I59" i="1"/>
  <c r="I51" i="1"/>
  <c r="I43" i="1"/>
  <c r="I35" i="1"/>
  <c r="I27" i="1"/>
  <c r="I19" i="1"/>
  <c r="I11" i="1"/>
  <c r="I346" i="1"/>
  <c r="I338" i="1"/>
  <c r="I330" i="1"/>
  <c r="I322" i="1"/>
  <c r="I314" i="1"/>
  <c r="I306" i="1"/>
  <c r="I298" i="1"/>
  <c r="I290" i="1"/>
  <c r="I282" i="1"/>
  <c r="I274" i="1"/>
  <c r="I266" i="1"/>
  <c r="I258" i="1"/>
  <c r="I250" i="1"/>
  <c r="I242" i="1"/>
  <c r="I234" i="1"/>
  <c r="I226" i="1"/>
  <c r="I218" i="1"/>
  <c r="I210" i="1"/>
  <c r="I202" i="1"/>
  <c r="I194" i="1"/>
  <c r="I186" i="1"/>
  <c r="I178" i="1"/>
  <c r="I170" i="1"/>
  <c r="I162" i="1"/>
  <c r="I154" i="1"/>
  <c r="I146" i="1"/>
  <c r="I138" i="1"/>
  <c r="I130" i="1"/>
  <c r="I122" i="1"/>
  <c r="I114" i="1"/>
  <c r="I106" i="1"/>
  <c r="I98" i="1"/>
  <c r="I90" i="1"/>
  <c r="I82" i="1"/>
  <c r="I74" i="1"/>
  <c r="I66" i="1"/>
  <c r="I58" i="1"/>
  <c r="I50" i="1"/>
  <c r="I42" i="1"/>
  <c r="I34" i="1"/>
  <c r="I26" i="1"/>
  <c r="I18" i="1"/>
  <c r="I10" i="1"/>
  <c r="I345" i="1"/>
  <c r="I337" i="1"/>
  <c r="I329" i="1"/>
  <c r="I321" i="1"/>
  <c r="I313" i="1"/>
  <c r="I305" i="1"/>
  <c r="I297" i="1"/>
  <c r="I289" i="1"/>
  <c r="I281" i="1"/>
  <c r="I273" i="1"/>
  <c r="I265" i="1"/>
  <c r="I257" i="1"/>
  <c r="I249" i="1"/>
  <c r="I241" i="1"/>
  <c r="I233" i="1"/>
  <c r="I225" i="1"/>
  <c r="I217" i="1"/>
  <c r="I209" i="1"/>
  <c r="I201" i="1"/>
  <c r="I193" i="1"/>
  <c r="I185" i="1"/>
  <c r="I177" i="1"/>
  <c r="I169" i="1"/>
  <c r="I161" i="1"/>
  <c r="I153" i="1"/>
  <c r="I145" i="1"/>
  <c r="I137" i="1"/>
  <c r="I129" i="1"/>
  <c r="I121" i="1"/>
  <c r="I113" i="1"/>
  <c r="I105" i="1"/>
  <c r="I97" i="1"/>
  <c r="I89" i="1"/>
  <c r="I81" i="1"/>
  <c r="I73" i="1"/>
  <c r="I65" i="1"/>
  <c r="I57" i="1"/>
  <c r="I49" i="1"/>
  <c r="I41" i="1"/>
  <c r="I33" i="1"/>
  <c r="I25" i="1"/>
  <c r="I17" i="1"/>
  <c r="I9" i="1"/>
  <c r="I352" i="1"/>
  <c r="I344" i="1"/>
  <c r="I336" i="1"/>
  <c r="I328" i="1"/>
  <c r="I320" i="1"/>
  <c r="I312" i="1"/>
  <c r="I304" i="1"/>
  <c r="I296" i="1"/>
  <c r="I288" i="1"/>
  <c r="I280" i="1"/>
  <c r="I272" i="1"/>
  <c r="I264" i="1"/>
  <c r="I256" i="1"/>
  <c r="I248" i="1"/>
  <c r="I240" i="1"/>
  <c r="I232" i="1"/>
  <c r="I224" i="1"/>
  <c r="I216" i="1"/>
  <c r="I208" i="1"/>
  <c r="I200" i="1"/>
  <c r="I192" i="1"/>
  <c r="I184" i="1"/>
  <c r="I176" i="1"/>
  <c r="I168" i="1"/>
  <c r="I160" i="1"/>
  <c r="I152" i="1"/>
  <c r="I144" i="1"/>
  <c r="I136" i="1"/>
  <c r="I128" i="1"/>
  <c r="I120" i="1"/>
  <c r="I112" i="1"/>
  <c r="I104" i="1"/>
  <c r="I96" i="1"/>
  <c r="I88" i="1"/>
  <c r="I80" i="1"/>
  <c r="I72" i="1"/>
  <c r="I64" i="1"/>
  <c r="I56" i="1"/>
  <c r="I48" i="1"/>
  <c r="I40" i="1"/>
  <c r="I32" i="1"/>
  <c r="I24" i="1"/>
  <c r="I16" i="1"/>
  <c r="I8" i="1"/>
  <c r="I351" i="1"/>
  <c r="I343" i="1"/>
  <c r="I335" i="1"/>
  <c r="I327" i="1"/>
  <c r="I319" i="1"/>
  <c r="I311" i="1"/>
  <c r="I303" i="1"/>
  <c r="I295" i="1"/>
  <c r="I287" i="1"/>
  <c r="I279" i="1"/>
  <c r="I271" i="1"/>
  <c r="I263" i="1"/>
  <c r="I255" i="1"/>
  <c r="I247" i="1"/>
  <c r="I239" i="1"/>
  <c r="I231" i="1"/>
  <c r="I223" i="1"/>
  <c r="I215" i="1"/>
  <c r="I207" i="1"/>
  <c r="I199" i="1"/>
  <c r="I191" i="1"/>
  <c r="I183" i="1"/>
  <c r="I175" i="1"/>
  <c r="I167" i="1"/>
  <c r="I159" i="1"/>
  <c r="I151" i="1"/>
  <c r="I143" i="1"/>
  <c r="I135" i="1"/>
  <c r="I127" i="1"/>
  <c r="I119" i="1"/>
  <c r="I111" i="1"/>
  <c r="I103" i="1"/>
  <c r="I95" i="1"/>
  <c r="I87" i="1"/>
  <c r="I79" i="1"/>
  <c r="I71" i="1"/>
  <c r="I63" i="1"/>
  <c r="I55" i="1"/>
  <c r="I47" i="1"/>
  <c r="I39" i="1"/>
  <c r="I31" i="1"/>
  <c r="I23" i="1"/>
  <c r="I15" i="1"/>
  <c r="I7" i="1"/>
  <c r="I350" i="1"/>
  <c r="I342" i="1"/>
  <c r="I334" i="1"/>
  <c r="I326" i="1"/>
  <c r="I318" i="1"/>
  <c r="I310" i="1"/>
  <c r="I302" i="1"/>
  <c r="I294" i="1"/>
  <c r="I286" i="1"/>
  <c r="I278" i="1"/>
  <c r="I270" i="1"/>
  <c r="I262" i="1"/>
  <c r="I254" i="1"/>
  <c r="I246" i="1"/>
  <c r="I238" i="1"/>
  <c r="I230" i="1"/>
  <c r="I222" i="1"/>
  <c r="I214" i="1"/>
  <c r="I206" i="1"/>
  <c r="I198" i="1"/>
  <c r="I190" i="1"/>
  <c r="I182" i="1"/>
  <c r="I174" i="1"/>
  <c r="I166" i="1"/>
  <c r="I158" i="1"/>
  <c r="I150" i="1"/>
  <c r="I142" i="1"/>
  <c r="I134" i="1"/>
  <c r="I126" i="1"/>
  <c r="I118" i="1"/>
  <c r="I110" i="1"/>
  <c r="I102" i="1"/>
  <c r="I94" i="1"/>
  <c r="I86" i="1"/>
  <c r="I78" i="1"/>
  <c r="I70" i="1"/>
  <c r="I62" i="1"/>
  <c r="I54" i="1"/>
  <c r="I46" i="1"/>
  <c r="I38" i="1"/>
  <c r="I30" i="1"/>
  <c r="I22" i="1"/>
  <c r="I14" i="1"/>
  <c r="I6" i="1"/>
  <c r="H8" i="2" s="1"/>
  <c r="I349" i="1"/>
  <c r="I341" i="1"/>
  <c r="I333" i="1"/>
  <c r="I325" i="1"/>
  <c r="I317" i="1"/>
  <c r="I309" i="1"/>
  <c r="I301" i="1"/>
  <c r="I293" i="1"/>
  <c r="I285" i="1"/>
  <c r="I277" i="1"/>
  <c r="I269" i="1"/>
  <c r="I261" i="1"/>
  <c r="I253" i="1"/>
  <c r="I245" i="1"/>
  <c r="I237" i="1"/>
  <c r="I229" i="1"/>
  <c r="I221" i="1"/>
  <c r="I213" i="1"/>
  <c r="I205" i="1"/>
  <c r="I197" i="1"/>
  <c r="I189" i="1"/>
  <c r="I181" i="1"/>
  <c r="I173" i="1"/>
  <c r="I165" i="1"/>
  <c r="I157" i="1"/>
  <c r="I149" i="1"/>
  <c r="I141" i="1"/>
  <c r="I133" i="1"/>
  <c r="I125" i="1"/>
  <c r="I117" i="1"/>
  <c r="I109" i="1"/>
  <c r="I101" i="1"/>
  <c r="I93" i="1"/>
  <c r="I85" i="1"/>
  <c r="I77" i="1"/>
  <c r="I69" i="1"/>
  <c r="I61" i="1"/>
  <c r="I53" i="1"/>
  <c r="I45" i="1"/>
  <c r="I37" i="1"/>
  <c r="I29" i="1"/>
  <c r="I21" i="1"/>
  <c r="I13" i="1"/>
  <c r="I5" i="1"/>
  <c r="I348" i="1"/>
  <c r="I340" i="1"/>
  <c r="I332" i="1"/>
  <c r="I324" i="1"/>
  <c r="I316" i="1"/>
  <c r="I308" i="1"/>
  <c r="I300" i="1"/>
  <c r="I292" i="1"/>
  <c r="I284" i="1"/>
  <c r="I276" i="1"/>
  <c r="I268" i="1"/>
  <c r="I260" i="1"/>
  <c r="I252" i="1"/>
  <c r="I244" i="1"/>
  <c r="I236" i="1"/>
  <c r="I228" i="1"/>
  <c r="I220" i="1"/>
  <c r="I212" i="1"/>
  <c r="I204" i="1"/>
  <c r="I196" i="1"/>
  <c r="I188" i="1"/>
  <c r="I180" i="1"/>
  <c r="I172" i="1"/>
  <c r="I164" i="1"/>
  <c r="I156" i="1"/>
  <c r="I148" i="1"/>
  <c r="I140" i="1"/>
  <c r="I132" i="1"/>
  <c r="I124" i="1"/>
  <c r="I116" i="1"/>
  <c r="I108" i="1"/>
  <c r="I100" i="1"/>
  <c r="I92" i="1"/>
  <c r="I84" i="1"/>
  <c r="I76" i="1"/>
  <c r="I68" i="1"/>
  <c r="I60" i="1"/>
  <c r="I52" i="1"/>
  <c r="I44" i="1"/>
  <c r="I36" i="1"/>
  <c r="I28" i="1"/>
  <c r="I20" i="1"/>
  <c r="I12" i="1"/>
  <c r="I4" i="1"/>
  <c r="G8" i="2" l="1"/>
  <c r="I37" i="5" s="1"/>
  <c r="M37" i="5"/>
  <c r="K37" i="5"/>
  <c r="M34" i="5"/>
  <c r="E38" i="5"/>
  <c r="O38" i="5"/>
  <c r="H37" i="5"/>
  <c r="O34" i="5"/>
  <c r="L37" i="5"/>
  <c r="J37" i="5"/>
  <c r="G34" i="5"/>
  <c r="H38" i="5"/>
  <c r="M38" i="5"/>
  <c r="N38" i="5"/>
  <c r="J34" i="5"/>
  <c r="E34" i="5"/>
  <c r="G37" i="5"/>
  <c r="H34" i="5"/>
  <c r="I38" i="5"/>
  <c r="F38" i="5"/>
  <c r="L38" i="5"/>
  <c r="I34" i="5"/>
  <c r="F34" i="5"/>
  <c r="G38" i="5"/>
  <c r="K34" i="5"/>
  <c r="N34" i="5"/>
  <c r="D38" i="5"/>
  <c r="J38" i="5"/>
  <c r="L34" i="5"/>
  <c r="K38" i="5"/>
  <c r="D34" i="5"/>
  <c r="L36" i="5"/>
  <c r="L39" i="5"/>
  <c r="N36" i="5"/>
  <c r="N39" i="5"/>
  <c r="I36" i="5"/>
  <c r="I39" i="5"/>
  <c r="G39" i="5"/>
  <c r="G36" i="5"/>
  <c r="O39" i="5"/>
  <c r="O36" i="5"/>
  <c r="M36" i="5"/>
  <c r="M39" i="5"/>
  <c r="F39" i="5"/>
  <c r="F36" i="5"/>
  <c r="D39" i="5"/>
  <c r="D36" i="5"/>
  <c r="H39" i="5"/>
  <c r="H36" i="5"/>
  <c r="E39" i="5"/>
  <c r="E36" i="5"/>
  <c r="J36" i="5"/>
  <c r="J39" i="5"/>
  <c r="K36" i="5"/>
  <c r="K39" i="5"/>
  <c r="B8" i="2"/>
  <c r="D37" i="5" s="1"/>
  <c r="C8" i="2"/>
  <c r="E37" i="5" s="1"/>
  <c r="D8" i="2"/>
  <c r="F37" i="5" s="1"/>
</calcChain>
</file>

<file path=xl/sharedStrings.xml><?xml version="1.0" encoding="utf-8"?>
<sst xmlns="http://schemas.openxmlformats.org/spreadsheetml/2006/main" count="320" uniqueCount="234">
  <si>
    <t>م</t>
  </si>
  <si>
    <t>نوع الشكوي</t>
  </si>
  <si>
    <t>ملخص الشكوي</t>
  </si>
  <si>
    <t>الحل</t>
  </si>
  <si>
    <t>التغذية الراجعة</t>
  </si>
  <si>
    <t>حل فوري</t>
  </si>
  <si>
    <t>حل خلال 72 ساعة</t>
  </si>
  <si>
    <t>تصنيفات الشكاوي</t>
  </si>
  <si>
    <t>إدارية</t>
  </si>
  <si>
    <t>إجراءات الدخول</t>
  </si>
  <si>
    <t xml:space="preserve">توافر الأدوية </t>
  </si>
  <si>
    <t>معاملة الفريق الطبي</t>
  </si>
  <si>
    <t xml:space="preserve">وقت الانتظار </t>
  </si>
  <si>
    <t xml:space="preserve">اسعار الخدمات </t>
  </si>
  <si>
    <t>حقوق المرضى</t>
  </si>
  <si>
    <t>الأمن والنظافة</t>
  </si>
  <si>
    <t>التحويل والاحالة</t>
  </si>
  <si>
    <t>الاغذية والمطبخ</t>
  </si>
  <si>
    <t>الفحوصات الطبية(اشعة/ معمل)</t>
  </si>
  <si>
    <t xml:space="preserve">عدم توافر الخدمة </t>
  </si>
  <si>
    <t>الاعطال و الصيانة</t>
  </si>
  <si>
    <t>أخرى</t>
  </si>
  <si>
    <t>تغذية راجعة</t>
  </si>
  <si>
    <t>تم التغذية الراجعة</t>
  </si>
  <si>
    <t>لم يتم التغذية الراجعة</t>
  </si>
  <si>
    <t>NA</t>
  </si>
  <si>
    <t>Column1</t>
  </si>
  <si>
    <t>تم الحل</t>
  </si>
  <si>
    <t xml:space="preserve">جاري الحل </t>
  </si>
  <si>
    <t>زمن الحل(يوم)</t>
  </si>
  <si>
    <t>إجمالي عدد الشكاوى</t>
  </si>
  <si>
    <t xml:space="preserve">إجمالي عدد الشكاوى التي تم حلها </t>
  </si>
  <si>
    <t>إجمالي عدد الشكاوى التي تم حلها فوريا</t>
  </si>
  <si>
    <t xml:space="preserve">إجمالي عدد الشكاوى التي تم حلها خلال 72 ساعة </t>
  </si>
  <si>
    <t>اجمالي الوقت المستغرق لحل الشكاوى</t>
  </si>
  <si>
    <t>عدد الشكاوى التي تم عمل تغذية راجعة لمقدم الشكوى</t>
  </si>
  <si>
    <t>الشهر</t>
  </si>
  <si>
    <t>شهر الحل</t>
  </si>
  <si>
    <t>البند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</si>
  <si>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</si>
  <si>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</si>
  <si>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</si>
  <si>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</si>
  <si>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</si>
  <si>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</si>
  <si>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</si>
  <si>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</si>
  <si>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Sep-26</t>
  </si>
  <si>
    <t>Oct-26</t>
  </si>
  <si>
    <t>Nov-26</t>
  </si>
  <si>
    <t>Dec-26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</si>
  <si>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</si>
  <si>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</si>
  <si>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</si>
  <si>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</si>
  <si>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</si>
  <si>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</si>
  <si>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</si>
  <si>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</si>
  <si>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</si>
  <si>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</si>
  <si>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</si>
  <si>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</si>
  <si>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m</t>
  </si>
  <si>
    <t xml:space="preserve">شهر التغذية </t>
  </si>
  <si>
    <t>عدد اعضاء هيئة التمريض المدربين على BLS</t>
  </si>
  <si>
    <t>اجمالي عدد التمريض بالوحدة</t>
  </si>
  <si>
    <t xml:space="preserve">اجمالي عدد الاطباء بالوحدة </t>
  </si>
  <si>
    <t>عدد العاملين المدربين على الدفاع المدني (شهادات معتمدة)</t>
  </si>
  <si>
    <t>اجمالي عدد العاملين الصحيين</t>
  </si>
  <si>
    <t>اجمالي عدد العاملين بالوحدة</t>
  </si>
  <si>
    <t>عدد الاطباء المدربين على BLS (شهادة معتمدة)</t>
  </si>
  <si>
    <t>عدد اعضاء هيئة التمريض المدربين على BLS(شهادة معتمدة)</t>
  </si>
  <si>
    <t>اجمالي عدد العاملين</t>
  </si>
  <si>
    <t xml:space="preserve"> عدد الاطباء المدربين على BLS</t>
  </si>
  <si>
    <t>اسم المريض</t>
  </si>
  <si>
    <t>الرقم الطبي</t>
  </si>
  <si>
    <t>مكان حدوث توقف القلب</t>
  </si>
  <si>
    <t>وقت اعلان Code Blue</t>
  </si>
  <si>
    <t>وقت بداية CPR</t>
  </si>
  <si>
    <t>وقت وصول فريق الCode Blue كاملا</t>
  </si>
  <si>
    <t>زمن الاستجابة للCode Blue</t>
  </si>
  <si>
    <t>مدة الانعاش الكلية</t>
  </si>
  <si>
    <t xml:space="preserve">نموذج التوثيق كامل البيانات </t>
  </si>
  <si>
    <t>الرعاية المركزة</t>
  </si>
  <si>
    <t>الحضانات</t>
  </si>
  <si>
    <t>الطوارئ والاستقبال</t>
  </si>
  <si>
    <t>الغسيل الكلوي</t>
  </si>
  <si>
    <t>العمليات</t>
  </si>
  <si>
    <t>الأقسام الداخلية</t>
  </si>
  <si>
    <t>نعم</t>
  </si>
  <si>
    <t>لا</t>
  </si>
  <si>
    <t>وفاة</t>
  </si>
  <si>
    <t>تحسن</t>
  </si>
  <si>
    <t>نقل/إحالة</t>
  </si>
  <si>
    <t>نتيجة الانعاش عند الانتهاء (نجاة / وفاة)</t>
  </si>
  <si>
    <t>نجاة</t>
  </si>
  <si>
    <t>وقت انتهاء CPR</t>
  </si>
  <si>
    <t>عدد دورات CPR
(2نفس/30 ضغطة)</t>
  </si>
  <si>
    <t>10</t>
  </si>
  <si>
    <t>شهر حدوث الحدث</t>
  </si>
  <si>
    <t>إجمالي عدد حالات النجاة بعد الإفاقة القلبية التنفسية</t>
  </si>
  <si>
    <t>إجمالي عدد حالات الوفاة بعد الإفاقة القلبية التنفسية</t>
  </si>
  <si>
    <t>إجمالي عدد حالات الوفاة خلال 24 ساعة من الإفاقة القلبية التنفسية</t>
  </si>
  <si>
    <t>إجمالي عدد حالات الوفاة بعد 24 ساعة من الإفاقة القلبية التنفسية</t>
  </si>
  <si>
    <t>اجمالي الوقت المستغرق للاستجابة للكود الازرق (دقائق)</t>
  </si>
  <si>
    <t>اجمالي الوقت المستغرق في اجراء الإفاقة القلبية التنفسية</t>
  </si>
  <si>
    <t>إجمالي عدد مرات الإفاقة القلبية التنفسية</t>
  </si>
  <si>
    <t xml:space="preserve">عدد حالات التوثيق الكامل لاجراءات الإفاقة القلبية التنفسية </t>
  </si>
  <si>
    <t>إجمالي عدد دورات الافاقة القلبية التنفسية لجميع الحالات</t>
  </si>
  <si>
    <t>عدد مرات تفعيل الكود بلو</t>
  </si>
  <si>
    <t>كود المؤشر</t>
  </si>
  <si>
    <t xml:space="preserve">المؤشر </t>
  </si>
  <si>
    <t>اسم المنشأة</t>
  </si>
  <si>
    <t>نوع المنشأة</t>
  </si>
  <si>
    <t>الادارة الصحية</t>
  </si>
  <si>
    <t>المديرية</t>
  </si>
  <si>
    <t>اجمالي عدد المواطنين</t>
  </si>
  <si>
    <t>العنوان</t>
  </si>
  <si>
    <t>عدد العيادات</t>
  </si>
  <si>
    <t>تخصصات العيادات</t>
  </si>
  <si>
    <t>عدد التمريض</t>
  </si>
  <si>
    <t>عدد الفئات الاخرى</t>
  </si>
  <si>
    <t>تردد العيادة الشهري</t>
  </si>
  <si>
    <t>عدد الاطباء واطباء الاسنان</t>
  </si>
  <si>
    <t xml:space="preserve">عدد الصيادلة </t>
  </si>
  <si>
    <t>كود المنشأة</t>
  </si>
  <si>
    <t xml:space="preserve">تنظيم الأسرة </t>
  </si>
  <si>
    <t>متابعة الاطفال</t>
  </si>
  <si>
    <t>IMCI</t>
  </si>
  <si>
    <t>الاسنان</t>
  </si>
  <si>
    <t>رعاية الأمومة و الطفولة</t>
  </si>
  <si>
    <t>اخرى</t>
  </si>
  <si>
    <t>طب الأسرة</t>
  </si>
  <si>
    <t xml:space="preserve">اجمالي تردد العيادات الخارجية                               </t>
  </si>
  <si>
    <t>FU-004</t>
  </si>
  <si>
    <t>FU-005-01</t>
  </si>
  <si>
    <t>FU-005-02</t>
  </si>
  <si>
    <t>FU-005-03</t>
  </si>
  <si>
    <t>FU-005-04</t>
  </si>
  <si>
    <t>FU-005-05</t>
  </si>
  <si>
    <t>FU-005-06</t>
  </si>
  <si>
    <t>تردد كل عيادة خارجية - طب الأسرة</t>
  </si>
  <si>
    <t>تردد كل عيادة خارجية -تنظيم الأسرة</t>
  </si>
  <si>
    <t>تردد كل عيادة خارجية - رعاية الامومة والطفولة</t>
  </si>
  <si>
    <t>تردد كل عيادة خارجية - متابعة الاطفال</t>
  </si>
  <si>
    <t>تردد كل عيادة خارجية - IMCI</t>
  </si>
  <si>
    <t>تردد كل عيادة خارجية - الاسنان</t>
  </si>
  <si>
    <t>FU-005-07</t>
  </si>
  <si>
    <t>تردد كل عيادة خارجية - عيادات اخرى</t>
  </si>
  <si>
    <t xml:space="preserve">متوسط مدة تلقي خدمات الطوارىء ( التسجيل – الخروج )            </t>
  </si>
  <si>
    <t>FU-016</t>
  </si>
  <si>
    <t xml:space="preserve">معدل حالات اعادة الدخول لقسم الطوارىء لنفس السبب خلال 72 ساعة  </t>
  </si>
  <si>
    <t>FU-017</t>
  </si>
  <si>
    <r>
      <t xml:space="preserve">نسبة تدريب أطباء علي دعم الحياة القلبية التنفسية  الاساسي         </t>
    </r>
    <r>
      <rPr>
        <sz val="11"/>
        <color theme="1"/>
        <rFont val="Calibri"/>
        <family val="2"/>
        <scheme val="minor"/>
      </rPr>
      <t xml:space="preserve"> BLS</t>
    </r>
  </si>
  <si>
    <r>
      <t xml:space="preserve">نسبة تدريب تمريض علي دعم الحياة القلبية التنفسية الاساسى </t>
    </r>
    <r>
      <rPr>
        <sz val="11"/>
        <color theme="1"/>
        <rFont val="Calibri"/>
        <family val="2"/>
        <scheme val="minor"/>
      </rPr>
      <t>BLS</t>
    </r>
    <r>
      <rPr>
        <sz val="11"/>
        <color theme="1"/>
        <rFont val="Arial"/>
        <family val="2"/>
      </rPr>
      <t xml:space="preserve">                       </t>
    </r>
  </si>
  <si>
    <r>
      <t xml:space="preserve">اجمالي نسبة تدريب العاملين الصحيين عل دعم الحياة القلبية الاساسي </t>
    </r>
    <r>
      <rPr>
        <sz val="11"/>
        <color theme="1"/>
        <rFont val="Calibri"/>
        <family val="2"/>
        <scheme val="minor"/>
      </rPr>
      <t>BLS</t>
    </r>
  </si>
  <si>
    <t>FU-025</t>
  </si>
  <si>
    <t>FU-026</t>
  </si>
  <si>
    <t>FU-027</t>
  </si>
  <si>
    <t>FU-029</t>
  </si>
  <si>
    <t>وحدة رعاية أولية</t>
  </si>
  <si>
    <t xml:space="preserve">عدد حالات توقف القلب خلال الشهر في  الوحدة                          </t>
  </si>
  <si>
    <t>نسبة النجاة بعد الافاقة القلبية التنفسية</t>
  </si>
  <si>
    <t>FU-030</t>
  </si>
  <si>
    <t>اجمالي نسبة الوفاة بعض الافاقة القلبية التنفسية</t>
  </si>
  <si>
    <t>FU-032</t>
  </si>
  <si>
    <t>FU-034</t>
  </si>
  <si>
    <t>FU-035</t>
  </si>
  <si>
    <t>FU-036</t>
  </si>
  <si>
    <t>معدل عدد دورات الافاقة القلبية التنفسية لكل دقيقتان</t>
  </si>
  <si>
    <t>نسبة الالتزام بالتوثيق السليم للإفاقة القلبية التنفسية</t>
  </si>
  <si>
    <t>FU-037</t>
  </si>
  <si>
    <t>FU-038</t>
  </si>
  <si>
    <t>FU-039</t>
  </si>
  <si>
    <t>FU-040</t>
  </si>
  <si>
    <t>FU-041</t>
  </si>
  <si>
    <t>FU-042</t>
  </si>
  <si>
    <t>FU-043</t>
  </si>
  <si>
    <t>إجمالي عدد الشكاوي خلال الشهر</t>
  </si>
  <si>
    <t>نسبة الشكاوي التي تم حلها</t>
  </si>
  <si>
    <t xml:space="preserve">نسبة الشكاوي التي تم حلها فوريا </t>
  </si>
  <si>
    <t>نسبة الشكاوي التي تم حلها خلال 72 ساعة من تلقيها</t>
  </si>
  <si>
    <t>نسبة الشكاوي التي تم عمل تغذية راجعة للشاكي</t>
  </si>
  <si>
    <t>مؤشرات الشكاوى</t>
  </si>
  <si>
    <t>مؤشرات الإفاقة القلبية التنفسية</t>
  </si>
  <si>
    <t>مؤشرات التدريب</t>
  </si>
  <si>
    <t>مؤشرات الطوارئ والاستقبال</t>
  </si>
  <si>
    <t>مؤشرات تردد العيادات</t>
  </si>
  <si>
    <t>نسبة العاملين المدربين على الدفاع المدني</t>
  </si>
  <si>
    <t>متوسط وقت الاستجابة للشكوي(أيام)</t>
  </si>
  <si>
    <t>متوسط وقت الاستجابة للكود بلو (دقائق)</t>
  </si>
  <si>
    <t>متوسط الوقت الكلي للإفاقة القلبية التنفسية (دقائق)</t>
  </si>
  <si>
    <t>FU-006</t>
  </si>
  <si>
    <t>التاريخ</t>
  </si>
  <si>
    <t>الرقم الطبي/ رقم السجل</t>
  </si>
  <si>
    <t>ساعة الدخول</t>
  </si>
  <si>
    <t xml:space="preserve">ساعة الخروج </t>
  </si>
  <si>
    <t>الوقت  المستغرق</t>
  </si>
  <si>
    <t>شهر الزيارة</t>
  </si>
  <si>
    <t>اجمالي مرضى الطوارئ</t>
  </si>
  <si>
    <t xml:space="preserve">عدد مرضى اعادة الدخول خلال 72 ساعة </t>
  </si>
  <si>
    <t xml:space="preserve">اجمالي الوقت المستغرق في الطوارئ من الدخول للخروج </t>
  </si>
  <si>
    <t xml:space="preserve">عدد المرضى في العينة </t>
  </si>
  <si>
    <t>عدد المرضى الذين عادو للطوارئ لنفس السبب خلال 72 ساعة</t>
  </si>
  <si>
    <t xml:space="preserve">اجمالي عدد مرضى الطوارئ خلال الشهر </t>
  </si>
  <si>
    <t>📝  سجل الشكاوى</t>
  </si>
  <si>
    <t>🎓  سجل التدريب</t>
  </si>
  <si>
    <t>❤️  سجل الإفاقة القلبية التنفسية (CPR)</t>
  </si>
  <si>
    <t>⚠️  يُستخدم هذا السجل لتوثيق جميع حالات توقف القلب والإنعاش القلبي الرئوي</t>
  </si>
  <si>
    <t>🚨  سجل الطوارئ والاستقبال</t>
  </si>
  <si>
    <t>📋  بيانات المنشأة الصحية و تردد العيادات</t>
  </si>
  <si>
    <t>11</t>
  </si>
  <si>
    <t>تاريخ الشكوي
mm/dd/yyyy</t>
  </si>
  <si>
    <t>تاريخ الحل
mm/dd/yyyy</t>
  </si>
  <si>
    <t>تاريخ التغذية الراجعة
mm/dd/yyyy</t>
  </si>
  <si>
    <t>تاريخ الزيارة
mm/dd/yyyy</t>
  </si>
  <si>
    <t>تاريخ حدوث توقف القلب
mm/dd/yyyy</t>
  </si>
  <si>
    <t>📅  الإجمالي الشهري</t>
  </si>
  <si>
    <t>📋  الشكاوى</t>
  </si>
  <si>
    <t>📋 تصنيف الشكاوى</t>
  </si>
  <si>
    <t>🎓  التدريب</t>
  </si>
  <si>
    <t>❤️  الإفاقة القلبية التنفسية</t>
  </si>
  <si>
    <t>🚨  الطوارئ والاستقبال</t>
  </si>
  <si>
    <t>📊  نتائج المؤشرات الشهرية</t>
  </si>
  <si>
    <t>وحدة غ</t>
  </si>
  <si>
    <t>ASU-BDR-001</t>
  </si>
  <si>
    <t>na</t>
  </si>
  <si>
    <t xml:space="preserve">عدم توافر دواء كذا بالصيدلية لاكثر من شهر </t>
  </si>
  <si>
    <t>طول وقت صرف العلاج</t>
  </si>
  <si>
    <t>معاملة طبيب الاسنان بالعيادة</t>
  </si>
  <si>
    <t>محمود سيد احمد</t>
  </si>
  <si>
    <t xml:space="preserve">تجربة للافاقة القلبية </t>
  </si>
  <si>
    <t xml:space="preserve"> تردد العيادات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</si>
</sst>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mmm\-yyyy"/>
    <numFmt numFmtId="165" formatCode="[$-2010000]d/mm/yyyy;@"/>
    <numFmt numFmtId="166" formatCode="[$-1010000]d/m/yyyy;@"/>
    <numFmt numFmtId="167" formatCode="[$-1000000]h:mm:ss;@"/>
    <numFmt numFmtId="168" formatCode="[$-1000401]h:mm\ AM/PM;@"/>
    <numFmt numFmtId="169" formatCode="0.0%"/>
  </numFmts>
  <fonts count="1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family val="2"/>
    </font>
    <font>
      <b/>
      <sz val="10"/>
      <color rgb="FFFFFFFF"/>
      <name val="Arial"/>
      <family val="2"/>
    </font>
    <font>
      <b/>
      <sz val="14"/>
      <color rgb="FFFFFFFF"/>
      <name val="Arial"/>
      <family val="2"/>
    </font>
    <font>
      <b/>
      <sz val="10"/>
      <color rgb="FFC00000"/>
      <name val="Arial"/>
      <family val="2"/>
    </font>
    <font>
      <b/>
      <sz val="11"/>
      <color rgb="FFFFFFFF"/>
      <name val="Arial"/>
      <family val="2"/>
    </font>
  </fonts>
  <fills count="26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/>
        <bgColor theme="4" tint="0.79998168889431442"/>
      </patternFill>
    </fill>
    <fill>
      <patternFill patternType="solid">
        <fgColor rgb="FF1B3A6B"/>
        <bgColor rgb="FF003366"/>
      </patternFill>
    </fill>
    <fill>
      <patternFill patternType="solid">
        <fgColor theme="0"/>
        <bgColor rgb="FF003366"/>
      </patternFill>
    </fill>
    <fill>
      <patternFill patternType="solid">
        <fgColor rgb="FF2E6DB4"/>
        <bgColor rgb="FF0066CC"/>
      </patternFill>
    </fill>
    <fill>
      <patternFill patternType="solid">
        <fgColor rgb="FFFFF2CC"/>
        <bgColor rgb="FFFFF2F2"/>
      </patternFill>
    </fill>
    <fill>
      <patternFill patternType="solid">
        <fgColor rgb="FFC00000"/>
        <bgColor rgb="FF800000"/>
      </patternFill>
    </fill>
    <fill>
      <patternFill patternType="solid">
        <fgColor rgb="FFFFF2F2"/>
        <bgColor rgb="FFFFF8F0"/>
      </patternFill>
    </fill>
    <fill>
      <patternFill patternType="solid">
        <fgColor rgb="FFFFD9F1"/>
        <bgColor indexed="64"/>
      </patternFill>
    </fill>
    <fill>
      <patternFill patternType="solid">
        <fgColor rgb="FFFFD9F1"/>
        <bgColor theme="4" tint="0.79998168889431442"/>
      </patternFill>
    </fill>
    <fill>
      <patternFill patternType="solid">
        <fgColor rgb="FFE36C09"/>
        <bgColor rgb="FFFF9900"/>
      </patternFill>
    </fill>
    <fill>
      <patternFill patternType="solid">
        <fgColor theme="5"/>
        <bgColor indexed="64"/>
      </patternFill>
    </fill>
    <fill>
      <patternFill patternType="solid">
        <fgColor rgb="FF217346"/>
        <bgColor rgb="FF00808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79998168889431442"/>
        <bgColor theme="4" tint="0.79998168889431442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79998168889431442"/>
        <bgColor theme="4" tint="0.79998168889431442"/>
      </patternFill>
    </fill>
  </fills>
  <borders count="1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indexed="64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indexed="64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1B3A6B"/>
      </left>
      <right/>
      <top style="medium">
        <color rgb="FF1B3A6B"/>
      </top>
      <bottom style="medium">
        <color rgb="FF1B3A6B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medium">
        <color rgb="FF1B3A6B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10">
    <xf numFmtId="0" fontId="0" fillId="0" borderId="0" xfId="0"/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 applyProtection="1">
      <alignment horizontal="center"/>
    </xf>
    <xf numFmtId="0" fontId="0" fillId="0" borderId="0" xfId="0" applyProtection="1"/>
    <xf numFmtId="0" fontId="0" fillId="0" borderId="0" xfId="0" applyNumberFormat="1" applyAlignment="1" applyProtection="1">
      <alignment horizontal="center"/>
    </xf>
    <xf numFmtId="165" fontId="0" fillId="0" borderId="0" xfId="0" applyNumberFormat="1" applyAlignment="1" applyProtection="1">
      <alignment horizontal="center"/>
      <protection locked="0"/>
    </xf>
    <xf numFmtId="0" fontId="0" fillId="3" borderId="0" xfId="0" applyFill="1" applyProtection="1"/>
    <xf numFmtId="17" fontId="0" fillId="0" borderId="0" xfId="0" applyNumberFormat="1" applyProtection="1"/>
    <xf numFmtId="0" fontId="0" fillId="0" borderId="0" xfId="0" applyAlignment="1" applyProtection="1">
      <alignment wrapText="1"/>
    </xf>
    <xf numFmtId="0" fontId="0" fillId="0" borderId="0" xfId="0" applyAlignment="1" applyProtection="1"/>
    <xf numFmtId="164" fontId="0" fillId="0" borderId="0" xfId="0" applyNumberFormat="1" applyAlignment="1" applyProtection="1">
      <alignment horizontal="center"/>
    </xf>
    <xf numFmtId="164" fontId="0" fillId="0" borderId="0" xfId="0" applyNumberFormat="1" applyProtection="1"/>
    <xf numFmtId="0" fontId="0" fillId="0" borderId="1" xfId="0" applyFont="1" applyBorder="1" applyAlignment="1" applyProtection="1">
      <alignment wrapText="1"/>
    </xf>
    <xf numFmtId="0" fontId="0" fillId="0" borderId="0" xfId="0" applyBorder="1" applyProtection="1"/>
    <xf numFmtId="0" fontId="0" fillId="4" borderId="2" xfId="0" applyFont="1" applyFill="1" applyBorder="1" applyAlignment="1" applyProtection="1">
      <alignment wrapText="1"/>
    </xf>
    <xf numFmtId="0" fontId="0" fillId="4" borderId="2" xfId="0" applyFont="1" applyFill="1" applyBorder="1" applyAlignment="1" applyProtection="1">
      <alignment vertical="center" wrapText="1"/>
    </xf>
    <xf numFmtId="0" fontId="0" fillId="5" borderId="0" xfId="0" applyFill="1" applyProtection="1"/>
    <xf numFmtId="0" fontId="0" fillId="5" borderId="0" xfId="0" applyFill="1" applyBorder="1" applyProtection="1"/>
    <xf numFmtId="0" fontId="0" fillId="6" borderId="0" xfId="0" applyFill="1" applyProtection="1"/>
    <xf numFmtId="0" fontId="0" fillId="6" borderId="0" xfId="0" applyFill="1" applyBorder="1" applyProtection="1"/>
    <xf numFmtId="17" fontId="0" fillId="0" borderId="0" xfId="0" applyNumberFormat="1" applyAlignment="1" applyProtection="1">
      <alignment horizontal="center"/>
    </xf>
    <xf numFmtId="168" fontId="0" fillId="0" borderId="0" xfId="0" applyNumberFormat="1" applyProtection="1">
      <protection locked="0"/>
    </xf>
    <xf numFmtId="0" fontId="0" fillId="0" borderId="2" xfId="0" applyFont="1" applyBorder="1"/>
    <xf numFmtId="0" fontId="0" fillId="0" borderId="6" xfId="0" applyFont="1" applyBorder="1"/>
    <xf numFmtId="0" fontId="0" fillId="2" borderId="7" xfId="0" applyFont="1" applyFill="1" applyBorder="1"/>
    <xf numFmtId="0" fontId="0" fillId="2" borderId="2" xfId="0" applyFont="1" applyFill="1" applyBorder="1"/>
    <xf numFmtId="0" fontId="0" fillId="2" borderId="6" xfId="0" applyFont="1" applyFill="1" applyBorder="1"/>
    <xf numFmtId="0" fontId="0" fillId="0" borderId="7" xfId="0" applyFont="1" applyBorder="1"/>
    <xf numFmtId="0" fontId="0" fillId="0" borderId="1" xfId="0" applyFont="1" applyBorder="1"/>
    <xf numFmtId="46" fontId="0" fillId="0" borderId="0" xfId="0" applyNumberFormat="1" applyProtection="1"/>
    <xf numFmtId="0" fontId="2" fillId="7" borderId="7" xfId="0" applyFont="1" applyFill="1" applyBorder="1"/>
    <xf numFmtId="0" fontId="2" fillId="7" borderId="2" xfId="0" applyFont="1" applyFill="1" applyBorder="1"/>
    <xf numFmtId="17" fontId="2" fillId="7" borderId="2" xfId="0" applyNumberFormat="1" applyFont="1" applyFill="1" applyBorder="1"/>
    <xf numFmtId="17" fontId="2" fillId="7" borderId="6" xfId="0" applyNumberFormat="1" applyFont="1" applyFill="1" applyBorder="1"/>
    <xf numFmtId="0" fontId="3" fillId="2" borderId="2" xfId="0" applyFont="1" applyFill="1" applyBorder="1"/>
    <xf numFmtId="0" fontId="3" fillId="0" borderId="2" xfId="0" applyFont="1" applyBorder="1"/>
    <xf numFmtId="0" fontId="0" fillId="0" borderId="2" xfId="0" applyFont="1" applyBorder="1" applyAlignment="1">
      <alignment wrapText="1"/>
    </xf>
    <xf numFmtId="169" fontId="0" fillId="2" borderId="2" xfId="0" applyNumberFormat="1" applyFont="1" applyFill="1" applyBorder="1"/>
    <xf numFmtId="169" fontId="0" fillId="4" borderId="2" xfId="0" applyNumberFormat="1" applyFont="1" applyFill="1" applyBorder="1"/>
    <xf numFmtId="169" fontId="0" fillId="10" borderId="2" xfId="0" applyNumberFormat="1" applyFont="1" applyFill="1" applyBorder="1"/>
    <xf numFmtId="169" fontId="0" fillId="0" borderId="2" xfId="0" applyNumberFormat="1" applyFont="1" applyBorder="1"/>
    <xf numFmtId="46" fontId="0" fillId="0" borderId="2" xfId="0" applyNumberFormat="1" applyFont="1" applyBorder="1"/>
    <xf numFmtId="0" fontId="0" fillId="8" borderId="0" xfId="0" applyFill="1"/>
    <xf numFmtId="169" fontId="0" fillId="6" borderId="2" xfId="0" applyNumberFormat="1" applyFont="1" applyFill="1" applyBorder="1"/>
    <xf numFmtId="0" fontId="0" fillId="0" borderId="0" xfId="0" applyAlignment="1" applyProtection="1">
      <alignment horizontal="center" vertical="center"/>
    </xf>
    <xf numFmtId="3" fontId="0" fillId="0" borderId="0" xfId="0" applyNumberFormat="1" applyProtection="1">
      <protection locked="0"/>
    </xf>
    <xf numFmtId="166" fontId="0" fillId="0" borderId="0" xfId="0" applyNumberFormat="1" applyProtection="1">
      <protection locked="0"/>
    </xf>
    <xf numFmtId="1" fontId="0" fillId="0" borderId="0" xfId="0" applyNumberFormat="1" applyProtection="1">
      <protection locked="0"/>
    </xf>
    <xf numFmtId="0" fontId="1" fillId="9" borderId="8" xfId="0" applyFont="1" applyFill="1" applyBorder="1" applyAlignment="1" applyProtection="1">
      <alignment horizontal="center" vertical="center"/>
    </xf>
    <xf numFmtId="0" fontId="1" fillId="9" borderId="8" xfId="0" applyFont="1" applyFill="1" applyBorder="1" applyAlignment="1" applyProtection="1">
      <alignment horizontal="center"/>
    </xf>
    <xf numFmtId="0" fontId="0" fillId="0" borderId="8" xfId="0" applyBorder="1" applyProtection="1"/>
    <xf numFmtId="0" fontId="1" fillId="0" borderId="0" xfId="0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vertical="center"/>
    </xf>
    <xf numFmtId="0" fontId="1" fillId="9" borderId="8" xfId="0" applyFont="1" applyFill="1" applyBorder="1" applyAlignment="1" applyProtection="1">
      <alignment horizontal="center" vertical="center"/>
    </xf>
    <xf numFmtId="0" fontId="0" fillId="8" borderId="0" xfId="0" applyFill="1" applyAlignment="1" applyProtection="1">
      <alignment vertical="center"/>
    </xf>
    <xf numFmtId="49" fontId="0" fillId="0" borderId="0" xfId="0" applyNumberFormat="1" applyProtection="1">
      <protection locked="0"/>
    </xf>
    <xf numFmtId="0" fontId="5" fillId="11" borderId="0" xfId="0" applyFont="1" applyFill="1" applyBorder="1" applyAlignment="1">
      <alignment horizontal="center" vertical="center" wrapText="1" readingOrder="2"/>
    </xf>
    <xf numFmtId="0" fontId="5" fillId="12" borderId="0" xfId="0" applyFont="1" applyFill="1" applyBorder="1" applyAlignment="1">
      <alignment horizontal="center" vertical="center" wrapText="1" readingOrder="2"/>
    </xf>
    <xf numFmtId="0" fontId="6" fillId="13" borderId="13" xfId="0" applyFont="1" applyFill="1" applyBorder="1" applyAlignment="1">
      <alignment horizontal="center" vertical="center" wrapText="1" readingOrder="2"/>
    </xf>
    <xf numFmtId="0" fontId="8" fillId="13" borderId="13" xfId="0" applyFont="1" applyFill="1" applyBorder="1" applyAlignment="1">
      <alignment horizontal="center" vertical="center" wrapText="1" readingOrder="2"/>
    </xf>
    <xf numFmtId="17" fontId="0" fillId="0" borderId="0" xfId="0" applyNumberFormat="1" applyAlignment="1" applyProtection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0" fontId="0" fillId="6" borderId="0" xfId="0" applyFill="1" applyAlignment="1" applyProtection="1">
      <alignment horizontal="center" vertical="center"/>
    </xf>
    <xf numFmtId="0" fontId="0" fillId="0" borderId="0" xfId="0" applyAlignment="1" applyProtection="1">
      <alignment horizontal="right" vertical="center"/>
    </xf>
    <xf numFmtId="0" fontId="4" fillId="0" borderId="0" xfId="0" applyFont="1" applyAlignment="1" applyProtection="1">
      <alignment horizontal="center" vertical="center"/>
    </xf>
    <xf numFmtId="0" fontId="8" fillId="15" borderId="13" xfId="0" applyFont="1" applyFill="1" applyBorder="1" applyAlignment="1">
      <alignment horizontal="center" vertical="center" wrapText="1" readingOrder="2"/>
    </xf>
    <xf numFmtId="0" fontId="0" fillId="0" borderId="5" xfId="0" applyFont="1" applyBorder="1" applyAlignment="1" applyProtection="1">
      <alignment horizontal="center" vertical="center"/>
    </xf>
    <xf numFmtId="0" fontId="0" fillId="0" borderId="3" xfId="0" applyFont="1" applyBorder="1" applyAlignment="1" applyProtection="1">
      <alignment horizontal="center" vertical="center"/>
      <protection locked="0"/>
    </xf>
    <xf numFmtId="3" fontId="0" fillId="0" borderId="3" xfId="0" applyNumberFormat="1" applyFont="1" applyBorder="1" applyAlignment="1" applyProtection="1">
      <alignment horizontal="center" vertical="center"/>
      <protection locked="0"/>
    </xf>
    <xf numFmtId="166" fontId="0" fillId="0" borderId="3" xfId="0" applyNumberFormat="1" applyFont="1" applyBorder="1" applyAlignment="1" applyProtection="1">
      <alignment horizontal="center" vertical="center"/>
      <protection locked="0"/>
    </xf>
    <xf numFmtId="168" fontId="0" fillId="0" borderId="3" xfId="0" applyNumberFormat="1" applyFont="1" applyBorder="1" applyAlignment="1" applyProtection="1">
      <alignment horizontal="center" vertical="center"/>
      <protection locked="0"/>
    </xf>
    <xf numFmtId="167" fontId="0" fillId="0" borderId="3" xfId="0" applyNumberFormat="1" applyFont="1" applyBorder="1" applyAlignment="1" applyProtection="1">
      <alignment horizontal="center" vertical="center"/>
    </xf>
    <xf numFmtId="1" fontId="0" fillId="0" borderId="3" xfId="0" applyNumberFormat="1" applyFont="1" applyBorder="1" applyAlignment="1" applyProtection="1">
      <alignment horizontal="center" vertical="center"/>
      <protection locked="0"/>
    </xf>
    <xf numFmtId="0" fontId="0" fillId="0" borderId="2" xfId="0" applyFont="1" applyBorder="1" applyAlignment="1" applyProtection="1">
      <alignment horizontal="center" vertical="center"/>
    </xf>
    <xf numFmtId="0" fontId="0" fillId="0" borderId="7" xfId="0" applyFont="1" applyBorder="1" applyAlignment="1" applyProtection="1">
      <alignment horizontal="center" vertical="center"/>
    </xf>
    <xf numFmtId="0" fontId="0" fillId="0" borderId="2" xfId="0" applyFont="1" applyBorder="1" applyAlignment="1" applyProtection="1">
      <alignment horizontal="center" vertical="center"/>
      <protection locked="0"/>
    </xf>
    <xf numFmtId="3" fontId="0" fillId="0" borderId="2" xfId="0" applyNumberFormat="1" applyFont="1" applyBorder="1" applyAlignment="1" applyProtection="1">
      <alignment horizontal="center" vertical="center"/>
      <protection locked="0"/>
    </xf>
    <xf numFmtId="166" fontId="0" fillId="0" borderId="2" xfId="0" applyNumberFormat="1" applyFont="1" applyBorder="1" applyAlignment="1" applyProtection="1">
      <alignment horizontal="center" vertical="center"/>
      <protection locked="0"/>
    </xf>
    <xf numFmtId="168" fontId="0" fillId="0" borderId="2" xfId="0" applyNumberFormat="1" applyFont="1" applyBorder="1" applyAlignment="1" applyProtection="1">
      <alignment horizontal="center" vertical="center"/>
      <protection locked="0"/>
    </xf>
    <xf numFmtId="167" fontId="0" fillId="0" borderId="2" xfId="0" applyNumberFormat="1" applyFont="1" applyBorder="1" applyAlignment="1" applyProtection="1">
      <alignment horizontal="center" vertical="center"/>
    </xf>
    <xf numFmtId="1" fontId="0" fillId="0" borderId="2" xfId="0" applyNumberFormat="1" applyFont="1" applyBorder="1" applyAlignment="1" applyProtection="1">
      <alignment horizontal="center" vertical="center"/>
      <protection locked="0"/>
    </xf>
    <xf numFmtId="0" fontId="0" fillId="17" borderId="7" xfId="0" applyFont="1" applyFill="1" applyBorder="1" applyAlignment="1" applyProtection="1">
      <alignment horizontal="center" vertical="center"/>
    </xf>
    <xf numFmtId="0" fontId="0" fillId="17" borderId="2" xfId="0" applyFont="1" applyFill="1" applyBorder="1" applyAlignment="1" applyProtection="1">
      <alignment horizontal="center" vertical="center"/>
      <protection locked="0"/>
    </xf>
    <xf numFmtId="3" fontId="0" fillId="17" borderId="2" xfId="0" applyNumberFormat="1" applyFont="1" applyFill="1" applyBorder="1" applyAlignment="1" applyProtection="1">
      <alignment horizontal="center" vertical="center"/>
      <protection locked="0"/>
    </xf>
    <xf numFmtId="166" fontId="0" fillId="17" borderId="2" xfId="0" applyNumberFormat="1" applyFont="1" applyFill="1" applyBorder="1" applyAlignment="1" applyProtection="1">
      <alignment horizontal="center" vertical="center"/>
      <protection locked="0"/>
    </xf>
    <xf numFmtId="168" fontId="0" fillId="17" borderId="2" xfId="0" applyNumberFormat="1" applyFont="1" applyFill="1" applyBorder="1" applyAlignment="1" applyProtection="1">
      <alignment horizontal="center" vertical="center"/>
      <protection locked="0"/>
    </xf>
    <xf numFmtId="167" fontId="0" fillId="17" borderId="2" xfId="0" applyNumberFormat="1" applyFont="1" applyFill="1" applyBorder="1" applyAlignment="1" applyProtection="1">
      <alignment horizontal="center" vertical="center"/>
    </xf>
    <xf numFmtId="1" fontId="0" fillId="17" borderId="2" xfId="0" applyNumberFormat="1" applyFont="1" applyFill="1" applyBorder="1" applyAlignment="1" applyProtection="1">
      <alignment horizontal="center" vertical="center"/>
      <protection locked="0"/>
    </xf>
    <xf numFmtId="168" fontId="0" fillId="17" borderId="3" xfId="0" applyNumberFormat="1" applyFont="1" applyFill="1" applyBorder="1" applyAlignment="1" applyProtection="1">
      <alignment horizontal="center" vertical="center"/>
      <protection locked="0"/>
    </xf>
    <xf numFmtId="0" fontId="0" fillId="17" borderId="2" xfId="0" applyFont="1" applyFill="1" applyBorder="1" applyAlignment="1" applyProtection="1">
      <alignment horizontal="center" vertical="center"/>
    </xf>
    <xf numFmtId="0" fontId="0" fillId="17" borderId="0" xfId="0" applyFill="1" applyAlignment="1" applyProtection="1">
      <alignment horizontal="center" vertical="center"/>
      <protection locked="0"/>
    </xf>
    <xf numFmtId="0" fontId="0" fillId="18" borderId="7" xfId="0" applyFont="1" applyFill="1" applyBorder="1" applyAlignment="1" applyProtection="1">
      <alignment horizontal="center" vertical="center"/>
    </xf>
    <xf numFmtId="0" fontId="0" fillId="18" borderId="2" xfId="0" applyFont="1" applyFill="1" applyBorder="1" applyAlignment="1" applyProtection="1">
      <alignment horizontal="center" vertical="center"/>
      <protection locked="0"/>
    </xf>
    <xf numFmtId="3" fontId="0" fillId="18" borderId="2" xfId="0" applyNumberFormat="1" applyFont="1" applyFill="1" applyBorder="1" applyAlignment="1" applyProtection="1">
      <alignment horizontal="center" vertical="center"/>
      <protection locked="0"/>
    </xf>
    <xf numFmtId="166" fontId="0" fillId="18" borderId="2" xfId="0" applyNumberFormat="1" applyFont="1" applyFill="1" applyBorder="1" applyAlignment="1" applyProtection="1">
      <alignment horizontal="center" vertical="center"/>
      <protection locked="0"/>
    </xf>
    <xf numFmtId="168" fontId="0" fillId="18" borderId="2" xfId="0" applyNumberFormat="1" applyFont="1" applyFill="1" applyBorder="1" applyAlignment="1" applyProtection="1">
      <alignment horizontal="center" vertical="center"/>
      <protection locked="0"/>
    </xf>
    <xf numFmtId="167" fontId="0" fillId="18" borderId="2" xfId="0" applyNumberFormat="1" applyFont="1" applyFill="1" applyBorder="1" applyAlignment="1" applyProtection="1">
      <alignment horizontal="center" vertical="center"/>
    </xf>
    <xf numFmtId="1" fontId="0" fillId="18" borderId="2" xfId="0" applyNumberFormat="1" applyFont="1" applyFill="1" applyBorder="1" applyAlignment="1" applyProtection="1">
      <alignment horizontal="center" vertical="center"/>
      <protection locked="0"/>
    </xf>
    <xf numFmtId="0" fontId="0" fillId="18" borderId="2" xfId="0" applyFont="1" applyFill="1" applyBorder="1" applyAlignment="1" applyProtection="1">
      <alignment horizontal="center" vertical="center"/>
    </xf>
    <xf numFmtId="0" fontId="0" fillId="18" borderId="4" xfId="0" applyFont="1" applyFill="1" applyBorder="1" applyAlignment="1" applyProtection="1">
      <alignment horizontal="center" vertical="center"/>
    </xf>
    <xf numFmtId="0" fontId="0" fillId="18" borderId="1" xfId="0" applyFont="1" applyFill="1" applyBorder="1" applyAlignment="1" applyProtection="1">
      <alignment horizontal="center" vertical="center"/>
      <protection locked="0"/>
    </xf>
    <xf numFmtId="3" fontId="0" fillId="18" borderId="1" xfId="0" applyNumberFormat="1" applyFont="1" applyFill="1" applyBorder="1" applyAlignment="1" applyProtection="1">
      <alignment horizontal="center" vertical="center"/>
      <protection locked="0"/>
    </xf>
    <xf numFmtId="166" fontId="0" fillId="18" borderId="1" xfId="0" applyNumberFormat="1" applyFont="1" applyFill="1" applyBorder="1" applyAlignment="1" applyProtection="1">
      <alignment horizontal="center" vertical="center"/>
      <protection locked="0"/>
    </xf>
    <xf numFmtId="168" fontId="0" fillId="18" borderId="1" xfId="0" applyNumberFormat="1" applyFont="1" applyFill="1" applyBorder="1" applyAlignment="1" applyProtection="1">
      <alignment horizontal="center" vertical="center"/>
      <protection locked="0"/>
    </xf>
    <xf numFmtId="167" fontId="0" fillId="18" borderId="1" xfId="0" applyNumberFormat="1" applyFont="1" applyFill="1" applyBorder="1" applyAlignment="1" applyProtection="1">
      <alignment horizontal="center" vertical="center"/>
    </xf>
    <xf numFmtId="1" fontId="0" fillId="18" borderId="1" xfId="0" applyNumberFormat="1" applyFont="1" applyFill="1" applyBorder="1" applyAlignment="1" applyProtection="1">
      <alignment horizontal="center" vertical="center"/>
      <protection locked="0"/>
    </xf>
    <xf numFmtId="0" fontId="0" fillId="18" borderId="1" xfId="0" applyFont="1" applyFill="1" applyBorder="1" applyAlignment="1" applyProtection="1">
      <alignment horizontal="center" vertical="center"/>
    </xf>
    <xf numFmtId="17" fontId="0" fillId="20" borderId="8" xfId="0" applyNumberFormat="1" applyFill="1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/>
    </xf>
    <xf numFmtId="166" fontId="0" fillId="0" borderId="8" xfId="0" applyNumberFormat="1" applyBorder="1" applyAlignment="1" applyProtection="1">
      <alignment horizontal="center" vertical="center"/>
      <protection locked="0"/>
    </xf>
    <xf numFmtId="49" fontId="0" fillId="0" borderId="8" xfId="0" applyNumberFormat="1" applyBorder="1" applyAlignment="1" applyProtection="1">
      <alignment horizontal="center" vertical="center"/>
      <protection locked="0"/>
    </xf>
    <xf numFmtId="1" fontId="0" fillId="0" borderId="8" xfId="0" applyNumberFormat="1" applyBorder="1" applyAlignment="1" applyProtection="1">
      <alignment horizontal="center" vertical="center"/>
      <protection locked="0"/>
    </xf>
    <xf numFmtId="168" fontId="0" fillId="0" borderId="8" xfId="0" applyNumberFormat="1" applyBorder="1" applyAlignment="1" applyProtection="1">
      <alignment horizontal="center" vertical="center"/>
      <protection locked="0"/>
    </xf>
    <xf numFmtId="46" fontId="0" fillId="0" borderId="8" xfId="0" applyNumberFormat="1" applyBorder="1" applyAlignment="1" applyProtection="1">
      <alignment horizontal="center" vertical="center"/>
    </xf>
    <xf numFmtId="0" fontId="0" fillId="0" borderId="8" xfId="0" applyBorder="1" applyAlignment="1" applyProtection="1">
      <alignment horizontal="center" vertical="center" wrapText="1"/>
      <protection locked="0"/>
    </xf>
    <xf numFmtId="0" fontId="0" fillId="0" borderId="8" xfId="0" applyBorder="1" applyAlignment="1" applyProtection="1">
      <alignment horizontal="center" vertical="center"/>
      <protection locked="0"/>
    </xf>
    <xf numFmtId="0" fontId="8" fillId="19" borderId="16" xfId="0" applyFont="1" applyFill="1" applyBorder="1" applyAlignment="1">
      <alignment horizontal="center" vertical="center" wrapText="1" readingOrder="2"/>
    </xf>
    <xf numFmtId="0" fontId="0" fillId="0" borderId="17" xfId="0" applyBorder="1" applyAlignment="1" applyProtection="1">
      <alignment horizontal="center" vertical="center"/>
    </xf>
    <xf numFmtId="166" fontId="0" fillId="0" borderId="17" xfId="0" applyNumberFormat="1" applyBorder="1" applyAlignment="1" applyProtection="1">
      <alignment horizontal="center" vertical="center"/>
      <protection locked="0"/>
    </xf>
    <xf numFmtId="49" fontId="0" fillId="0" borderId="17" xfId="0" applyNumberFormat="1" applyBorder="1" applyAlignment="1" applyProtection="1">
      <alignment horizontal="center" vertical="center"/>
      <protection locked="0"/>
    </xf>
    <xf numFmtId="1" fontId="0" fillId="0" borderId="17" xfId="0" applyNumberFormat="1" applyBorder="1" applyAlignment="1" applyProtection="1">
      <alignment horizontal="center" vertical="center"/>
      <protection locked="0"/>
    </xf>
    <xf numFmtId="168" fontId="0" fillId="0" borderId="17" xfId="0" applyNumberFormat="1" applyBorder="1" applyAlignment="1" applyProtection="1">
      <alignment horizontal="center" vertical="center"/>
      <protection locked="0"/>
    </xf>
    <xf numFmtId="17" fontId="0" fillId="20" borderId="17" xfId="0" applyNumberFormat="1" applyFill="1" applyBorder="1" applyAlignment="1" applyProtection="1">
      <alignment horizontal="center" vertical="center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0" xfId="0" applyBorder="1" applyProtection="1">
      <protection locked="0"/>
    </xf>
    <xf numFmtId="17" fontId="0" fillId="9" borderId="8" xfId="0" applyNumberFormat="1" applyFill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 vertical="center"/>
      <protection locked="0"/>
    </xf>
    <xf numFmtId="0" fontId="0" fillId="0" borderId="11" xfId="0" applyBorder="1" applyAlignment="1" applyProtection="1">
      <alignment horizontal="center" vertical="center"/>
      <protection locked="0"/>
    </xf>
    <xf numFmtId="0" fontId="1" fillId="0" borderId="8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right" vertical="center"/>
    </xf>
    <xf numFmtId="0" fontId="1" fillId="0" borderId="8" xfId="0" applyFont="1" applyBorder="1" applyAlignment="1" applyProtection="1">
      <alignment horizontal="right" vertical="center"/>
    </xf>
    <xf numFmtId="0" fontId="1" fillId="0" borderId="8" xfId="0" applyFont="1" applyBorder="1" applyAlignment="1" applyProtection="1">
      <alignment horizontal="right" vertical="center" readingOrder="2"/>
    </xf>
    <xf numFmtId="0" fontId="1" fillId="0" borderId="8" xfId="0" applyFont="1" applyBorder="1" applyAlignment="1" applyProtection="1">
      <alignment horizontal="right"/>
    </xf>
    <xf numFmtId="168" fontId="0" fillId="5" borderId="3" xfId="0" applyNumberFormat="1" applyFont="1" applyFill="1" applyBorder="1" applyAlignment="1" applyProtection="1">
      <alignment horizontal="center" vertical="center"/>
      <protection locked="0"/>
    </xf>
    <xf numFmtId="168" fontId="0" fillId="5" borderId="2" xfId="0" applyNumberFormat="1" applyFont="1" applyFill="1" applyBorder="1" applyAlignment="1" applyProtection="1">
      <alignment horizontal="center" vertical="center"/>
      <protection locked="0"/>
    </xf>
    <xf numFmtId="166" fontId="8" fillId="15" borderId="13" xfId="0" applyNumberFormat="1" applyFont="1" applyFill="1" applyBorder="1" applyAlignment="1">
      <alignment horizontal="center" vertical="center" wrapText="1" readingOrder="2"/>
    </xf>
    <xf numFmtId="0" fontId="9" fillId="12" borderId="0" xfId="0" applyFont="1" applyFill="1" applyBorder="1" applyAlignment="1">
      <alignment horizontal="center" vertical="center" wrapText="1" readingOrder="2"/>
    </xf>
    <xf numFmtId="0" fontId="0" fillId="5" borderId="0" xfId="0" applyFill="1"/>
    <xf numFmtId="0" fontId="11" fillId="13" borderId="14" xfId="0" applyFont="1" applyFill="1" applyBorder="1" applyAlignment="1">
      <alignment horizontal="right" vertical="center" wrapText="1" readingOrder="2"/>
    </xf>
    <xf numFmtId="0" fontId="11" fillId="21" borderId="14" xfId="0" applyFont="1" applyFill="1" applyBorder="1" applyAlignment="1">
      <alignment horizontal="right" vertical="center" wrapText="1" readingOrder="2"/>
    </xf>
    <xf numFmtId="0" fontId="0" fillId="22" borderId="1" xfId="0" applyFont="1" applyFill="1" applyBorder="1" applyAlignment="1" applyProtection="1">
      <alignment wrapText="1"/>
    </xf>
    <xf numFmtId="0" fontId="0" fillId="22" borderId="0" xfId="0" applyFill="1" applyProtection="1"/>
    <xf numFmtId="0" fontId="0" fillId="22" borderId="0" xfId="0" applyFill="1"/>
    <xf numFmtId="0" fontId="0" fillId="23" borderId="1" xfId="0" applyFont="1" applyFill="1" applyBorder="1" applyAlignment="1" applyProtection="1">
      <alignment wrapText="1"/>
    </xf>
    <xf numFmtId="0" fontId="0" fillId="23" borderId="2" xfId="0" applyFont="1" applyFill="1" applyBorder="1" applyAlignment="1" applyProtection="1">
      <alignment wrapText="1"/>
    </xf>
    <xf numFmtId="0" fontId="0" fillId="5" borderId="0" xfId="0" applyFont="1" applyFill="1" applyBorder="1" applyAlignment="1" applyProtection="1">
      <alignment wrapText="1"/>
    </xf>
    <xf numFmtId="0" fontId="11" fillId="15" borderId="14" xfId="0" applyFont="1" applyFill="1" applyBorder="1" applyAlignment="1">
      <alignment horizontal="right" vertical="center" wrapText="1" readingOrder="2"/>
    </xf>
    <xf numFmtId="0" fontId="0" fillId="17" borderId="0" xfId="0" applyFill="1" applyAlignment="1" applyProtection="1">
      <alignment wrapText="1"/>
    </xf>
    <xf numFmtId="0" fontId="0" fillId="17" borderId="0" xfId="0" applyFill="1" applyProtection="1"/>
    <xf numFmtId="0" fontId="0" fillId="17" borderId="0" xfId="0" applyFill="1"/>
    <xf numFmtId="46" fontId="0" fillId="17" borderId="0" xfId="0" applyNumberFormat="1" applyFill="1" applyProtection="1"/>
    <xf numFmtId="0" fontId="0" fillId="5" borderId="0" xfId="0" applyFill="1" applyAlignment="1" applyProtection="1">
      <alignment wrapText="1"/>
    </xf>
    <xf numFmtId="0" fontId="11" fillId="19" borderId="14" xfId="0" applyFont="1" applyFill="1" applyBorder="1" applyAlignment="1">
      <alignment horizontal="right" vertical="center" wrapText="1" readingOrder="2"/>
    </xf>
    <xf numFmtId="0" fontId="0" fillId="24" borderId="0" xfId="0" applyFill="1" applyAlignment="1" applyProtection="1">
      <alignment wrapText="1"/>
    </xf>
    <xf numFmtId="46" fontId="0" fillId="24" borderId="0" xfId="0" applyNumberFormat="1" applyFill="1" applyProtection="1"/>
    <xf numFmtId="0" fontId="0" fillId="24" borderId="0" xfId="0" applyFill="1"/>
    <xf numFmtId="0" fontId="0" fillId="24" borderId="0" xfId="0" applyFill="1" applyAlignment="1" applyProtection="1">
      <alignment horizontal="center" vertical="center"/>
    </xf>
    <xf numFmtId="0" fontId="0" fillId="2" borderId="2" xfId="0" applyFont="1" applyFill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2" borderId="2" xfId="0" applyFont="1" applyFill="1" applyBorder="1" applyAlignment="1">
      <alignment horizontal="center" vertical="center"/>
    </xf>
    <xf numFmtId="0" fontId="0" fillId="0" borderId="2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5" borderId="7" xfId="0" applyFont="1" applyFill="1" applyBorder="1"/>
    <xf numFmtId="0" fontId="0" fillId="5" borderId="2" xfId="0" applyFont="1" applyFill="1" applyBorder="1" applyAlignment="1">
      <alignment horizontal="center"/>
    </xf>
    <xf numFmtId="0" fontId="0" fillId="5" borderId="2" xfId="0" applyFont="1" applyFill="1" applyBorder="1"/>
    <xf numFmtId="0" fontId="0" fillId="5" borderId="6" xfId="0" applyFont="1" applyFill="1" applyBorder="1"/>
    <xf numFmtId="0" fontId="0" fillId="0" borderId="0" xfId="0" applyFont="1" applyBorder="1" applyAlignment="1">
      <alignment horizontal="center" vertical="center"/>
    </xf>
    <xf numFmtId="169" fontId="0" fillId="0" borderId="0" xfId="0" applyNumberFormat="1" applyFont="1" applyBorder="1"/>
    <xf numFmtId="0" fontId="0" fillId="4" borderId="0" xfId="0" applyFont="1" applyFill="1" applyBorder="1"/>
    <xf numFmtId="0" fontId="0" fillId="5" borderId="0" xfId="0" applyFont="1" applyFill="1" applyBorder="1" applyAlignment="1">
      <alignment horizontal="center" vertical="center"/>
    </xf>
    <xf numFmtId="0" fontId="0" fillId="5" borderId="0" xfId="0" applyFont="1" applyFill="1" applyBorder="1" applyAlignment="1">
      <alignment wrapText="1"/>
    </xf>
    <xf numFmtId="169" fontId="0" fillId="5" borderId="0" xfId="0" applyNumberFormat="1" applyFont="1" applyFill="1" applyBorder="1"/>
    <xf numFmtId="0" fontId="0" fillId="4" borderId="2" xfId="0" applyFont="1" applyFill="1" applyBorder="1" applyAlignment="1">
      <alignment horizontal="center" vertical="center"/>
    </xf>
    <xf numFmtId="0" fontId="0" fillId="4" borderId="2" xfId="0" applyFont="1" applyFill="1" applyBorder="1" applyAlignment="1">
      <alignment wrapText="1"/>
    </xf>
    <xf numFmtId="0" fontId="0" fillId="0" borderId="0" xfId="0" applyFont="1" applyBorder="1"/>
    <xf numFmtId="0" fontId="0" fillId="18" borderId="7" xfId="0" applyFont="1" applyFill="1" applyBorder="1"/>
    <xf numFmtId="0" fontId="0" fillId="18" borderId="2" xfId="0" applyFont="1" applyFill="1" applyBorder="1" applyAlignment="1">
      <alignment horizontal="center" vertical="center"/>
    </xf>
    <xf numFmtId="0" fontId="0" fillId="18" borderId="2" xfId="0" applyFont="1" applyFill="1" applyBorder="1"/>
    <xf numFmtId="169" fontId="0" fillId="18" borderId="2" xfId="0" applyNumberFormat="1" applyFont="1" applyFill="1" applyBorder="1"/>
    <xf numFmtId="46" fontId="0" fillId="18" borderId="2" xfId="0" applyNumberFormat="1" applyFont="1" applyFill="1" applyBorder="1"/>
    <xf numFmtId="0" fontId="0" fillId="18" borderId="2" xfId="0" applyNumberFormat="1" applyFont="1" applyFill="1" applyBorder="1"/>
    <xf numFmtId="0" fontId="0" fillId="22" borderId="7" xfId="0" applyFont="1" applyFill="1" applyBorder="1"/>
    <xf numFmtId="0" fontId="0" fillId="23" borderId="2" xfId="0" applyFont="1" applyFill="1" applyBorder="1" applyAlignment="1">
      <alignment horizontal="center" vertical="center"/>
    </xf>
    <xf numFmtId="0" fontId="0" fillId="23" borderId="2" xfId="0" applyFont="1" applyFill="1" applyBorder="1" applyAlignment="1">
      <alignment wrapText="1"/>
    </xf>
    <xf numFmtId="169" fontId="0" fillId="23" borderId="2" xfId="0" applyNumberFormat="1" applyFont="1" applyFill="1" applyBorder="1"/>
    <xf numFmtId="0" fontId="0" fillId="25" borderId="7" xfId="0" applyFont="1" applyFill="1" applyBorder="1"/>
    <xf numFmtId="0" fontId="0" fillId="25" borderId="2" xfId="0" applyFont="1" applyFill="1" applyBorder="1" applyAlignment="1">
      <alignment horizontal="center" vertical="center"/>
    </xf>
    <xf numFmtId="0" fontId="0" fillId="25" borderId="2" xfId="0" applyFont="1" applyFill="1" applyBorder="1"/>
    <xf numFmtId="46" fontId="0" fillId="25" borderId="2" xfId="0" applyNumberFormat="1" applyFont="1" applyFill="1" applyBorder="1"/>
    <xf numFmtId="0" fontId="7" fillId="14" borderId="13" xfId="0" applyFont="1" applyFill="1" applyBorder="1" applyAlignment="1" applyProtection="1">
      <alignment horizontal="center" vertical="center" wrapText="1" readingOrder="2"/>
      <protection locked="0"/>
    </xf>
    <xf numFmtId="0" fontId="9" fillId="11" borderId="12" xfId="0" applyFont="1" applyFill="1" applyBorder="1" applyAlignment="1">
      <alignment horizontal="center" vertical="center" wrapText="1" readingOrder="2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Alignment="1" applyProtection="1">
      <alignment horizontal="center"/>
      <protection locked="0"/>
    </xf>
    <xf numFmtId="0" fontId="1" fillId="9" borderId="8" xfId="0" applyFont="1" applyFill="1" applyBorder="1" applyAlignment="1" applyProtection="1">
      <alignment horizontal="center" vertical="center"/>
    </xf>
    <xf numFmtId="0" fontId="1" fillId="0" borderId="9" xfId="0" applyFont="1" applyBorder="1" applyAlignment="1" applyProtection="1">
      <alignment vertical="center"/>
      <protection locked="0"/>
    </xf>
    <xf numFmtId="0" fontId="1" fillId="0" borderId="10" xfId="0" applyFont="1" applyBorder="1" applyAlignment="1" applyProtection="1">
      <alignment vertical="center"/>
      <protection locked="0"/>
    </xf>
    <xf numFmtId="0" fontId="0" fillId="0" borderId="8" xfId="0" applyBorder="1" applyAlignment="1" applyProtection="1">
      <alignment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5" fillId="11" borderId="12" xfId="0" applyFont="1" applyFill="1" applyBorder="1" applyAlignment="1">
      <alignment horizontal="center" vertical="center" wrapText="1" readingOrder="2"/>
    </xf>
    <xf numFmtId="0" fontId="9" fillId="15" borderId="12" xfId="0" applyFont="1" applyFill="1" applyBorder="1" applyAlignment="1">
      <alignment horizontal="center" vertical="center" wrapText="1" readingOrder="2"/>
    </xf>
    <xf numFmtId="0" fontId="10" fillId="16" borderId="14" xfId="0" applyFont="1" applyFill="1" applyBorder="1" applyAlignment="1">
      <alignment horizontal="center" vertical="center" wrapText="1" readingOrder="2"/>
    </xf>
    <xf numFmtId="0" fontId="9" fillId="19" borderId="15" xfId="0" applyFont="1" applyFill="1" applyBorder="1" applyAlignment="1">
      <alignment horizontal="center" vertical="center" wrapText="1" readingOrder="2"/>
    </xf>
    <xf numFmtId="0" fontId="9" fillId="19" borderId="0" xfId="0" applyFont="1" applyFill="1" applyBorder="1" applyAlignment="1">
      <alignment horizontal="center" vertical="center" wrapText="1" readingOrder="2"/>
    </xf>
    <xf numFmtId="0" fontId="11" fillId="11" borderId="14" xfId="0" applyFont="1" applyFill="1" applyBorder="1" applyAlignment="1">
      <alignment horizontal="right" vertical="center" wrapText="1" readingOrder="2"/>
    </xf>
    <xf numFmtId="0" fontId="11" fillId="13" borderId="14" xfId="0" applyFont="1" applyFill="1" applyBorder="1" applyAlignment="1">
      <alignment horizontal="right" vertical="center" wrapText="1" readingOrder="2"/>
    </xf>
    <xf numFmtId="0" fontId="11" fillId="19" borderId="14" xfId="0" applyFont="1" applyFill="1" applyBorder="1" applyAlignment="1">
      <alignment horizontal="right" vertical="center" wrapText="1" readingOrder="2"/>
    </xf>
    <xf numFmtId="0" fontId="11" fillId="21" borderId="14" xfId="0" applyFont="1" applyFill="1" applyBorder="1" applyAlignment="1">
      <alignment horizontal="right" vertical="center" wrapText="1" readingOrder="2"/>
    </xf>
    <xf numFmtId="0" fontId="11" fillId="15" borderId="14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06"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protection locked="1" hidden="0"/>
    </dxf>
    <dxf>
      <alignment horizontal="general" vertical="bottom" textRotation="0" wrapText="1" indent="0" justifyLastLine="0" shrinkToFit="0" readingOrder="0"/>
      <protection locked="1" hidden="0"/>
    </dxf>
    <dxf>
      <protection locked="1" hidden="0"/>
    </dxf>
    <dxf>
      <numFmt numFmtId="22" formatCode="mmm\-yy"/>
      <protection locked="1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22" formatCode="mmm\-yy"/>
      <fill>
        <patternFill patternType="solid">
          <fgColor indexed="64"/>
          <bgColor theme="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top style="thin">
          <color rgb="FFBFBFBF"/>
        </top>
        <bottom style="thin">
          <color indexed="64"/>
        </bottom>
      </border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FF9900"/>
          <bgColor rgb="FFE36C09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numFmt numFmtId="31" formatCode="[h]:mm:ss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numFmt numFmtId="168" formatCode="[$-1000401]h:mm\ AM/P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8" formatCode="[$-1000401]h:mm\ AM/PM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[$-1010000]d/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30" formatCode="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numFmt numFmtId="166" formatCode="[$-1010000]d/m/yyyy;@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0" hidden="0"/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top style="thin">
          <color rgb="FFBFBFBF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protection locked="0" hidden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FF9900"/>
          <bgColor rgb="FFE36C09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1000000]h:mm:ss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7" formatCode="[$-1000000]h:mm:ss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8" formatCode="[$-1000401]h:mm\ AM/PM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[$-1010000]d/m/yyyy;@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" formatCode="#,##0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theme="4" tint="0.39997558519241921"/>
        </left>
        <right/>
        <top style="thin">
          <color theme="4" tint="0.39997558519241921"/>
        </top>
        <bottom/>
      </border>
      <protection locked="1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ill>
        <patternFill patternType="solid">
          <fgColor indexed="64"/>
          <bgColor theme="1"/>
        </patternFill>
      </fill>
      <alignment horizontal="center" vertical="center" textRotation="0" wrapText="0" indent="0" justifyLastLine="0" shrinkToFit="0" readingOrder="0"/>
      <protection locked="1" hidden="0"/>
    </dxf>
    <dxf>
      <font>
        <sz val="10"/>
        <color rgb="FF000000"/>
        <name val="Arial"/>
        <scheme val="none"/>
      </font>
      <fill>
        <patternFill patternType="solid">
          <fgColor rgb="FFFFF2F2"/>
          <bgColor rgb="FFFFF2CC"/>
        </patternFill>
      </fill>
      <alignment horizontal="center" vertical="center" textRotation="0" wrapText="1" indent="0" justifyLastLine="0" shrinkToFit="0" readingOrder="2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  <protection locked="0" hidden="0"/>
    </dxf>
    <dxf>
      <alignment horizontal="right" vertical="center" textRotation="0" wrapText="0" indent="0" justifyLastLine="0" shrinkToFit="0" readingOrder="0"/>
      <protection locked="1" hidden="0"/>
    </dxf>
    <dxf>
      <font>
        <b/>
      </font>
      <alignment horizontal="center" vertical="center" textRotation="0" wrapText="0" indent="0" justifyLastLine="0" shrinkToFit="0" readingOrder="0"/>
      <protection locked="1" hidden="0"/>
    </dxf>
    <dxf>
      <numFmt numFmtId="22" formatCode="mmm\-yy"/>
      <alignment horizontal="right" vertical="center" textRotation="0" wrapText="0" indent="0" justifyLastLine="0" shrinkToFit="0" readingOrder="0"/>
      <protection locked="1" hidden="0"/>
    </dxf>
    <dxf>
      <border outline="0">
        <bottom style="thin">
          <color rgb="FFBFBFB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66CC"/>
          <bgColor rgb="FF2E6DB4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  <dxf>
      <alignment horizontal="center" vertical="bottom" textRotation="0" wrapText="0" indent="0" justifyLastLine="0" shrinkToFit="0" readingOrder="0"/>
      <protection locked="1" hidden="0"/>
    </dxf>
    <dxf>
      <numFmt numFmtId="22" formatCode="mmm\-yy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164" formatCode="mmm\-yyyy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numFmt numFmtId="165" formatCode="[$-2010000]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numFmt numFmtId="166" formatCode="[$-1010000]d/m/yyyy;@"/>
      <alignment horizontal="center" vertical="bottom" textRotation="0" wrapText="0" indent="0" justifyLastLine="0" shrinkToFit="0" readingOrder="0"/>
      <protection locked="1" hidden="0"/>
    </dxf>
    <dxf>
      <numFmt numFmtId="165" formatCode="[$-2010000]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numFmt numFmtId="0" formatCode="General"/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0" hidden="0"/>
    </dxf>
    <dxf>
      <numFmt numFmtId="166" formatCode="[$-1010000]d/m/yyyy;@"/>
      <alignment horizontal="center" vertical="bottom" textRotation="0" wrapText="0" indent="0" justifyLastLine="0" shrinkToFit="0" readingOrder="0"/>
      <protection locked="1" hidden="0"/>
    </dxf>
    <dxf>
      <numFmt numFmtId="165" formatCode="[$-2010000]d/mm/yyyy;@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alignment horizontal="center" vertical="bottom" textRotation="0" wrapText="0" indent="0" justifyLastLine="0" shrinkToFit="0" readingOrder="0"/>
      <protection locked="1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rgb="FF0066CC"/>
          <bgColor rgb="FF2E6DB4"/>
        </patternFill>
      </fill>
      <alignment horizontal="center" vertical="center" textRotation="0" wrapText="1" indent="0" justifyLastLine="0" shrinkToFit="0" readingOrder="2"/>
      <border diagonalUp="0" diagonalDown="0" outline="0">
        <left style="thin">
          <color rgb="FFBFBFBF"/>
        </left>
        <right style="thin">
          <color rgb="FFBFBFBF"/>
        </right>
        <top/>
        <bottom/>
      </border>
    </dxf>
  </dxfs>
  <tableStyles count="0" defaultTableStyle="TableStyleMedium2" defaultPivotStyle="PivotStyleLight16"/>
  <colors>
    <mruColors>
      <color rgb="FFFFD9F1"/>
      <color rgb="FFF8D4F1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id="2" name="data_entry" displayName="data_entry" ref="A3:N352" totalsRowShown="0" headerRowDxfId="105" dataDxfId="104" totalsRowDxfId="103">
  <autoFilter ref="A3:N35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8" hiddenButton="1"/>
    <filterColumn colId="9" hiddenButton="1"/>
    <filterColumn colId="10" hiddenButton="1"/>
  </autoFilter>
  <tableColumns count="14">
    <tableColumn id="1" name="م" dataDxfId="102" totalsRowDxfId="101"/>
    <tableColumn id="2" name="تاريخ الشكوي_x000a_mm/dd/yyyy" dataDxfId="100" totalsRowDxfId="99"/>
    <tableColumn id="3" name="نوع الشكوي" dataDxfId="98" totalsRowDxfId="97"/>
    <tableColumn id="4" name="ملخص الشكوي" dataDxfId="96" totalsRowDxfId="95"/>
    <tableColumn id="5" name="الحل" dataDxfId="94" totalsRowDxfId="93">
      <calculatedColumnFormula>IF(data_entry[[#This Row],[تاريخ الشكوي
mm/dd/yyyy]]="","",IF(data_entry[[#This Row],[تاريخ الحل
mm/dd/yyyy]]="","جاري الحل","تم الحل"))</calculatedColumnFormula>
    </tableColumn>
    <tableColumn id="7" name="تاريخ الحل_x000a_mm/dd/yyyy" dataDxfId="92" totalsRowDxfId="91"/>
    <tableColumn id="8" name="التغذية الراجعة" dataDxfId="90" totalsRowDxfId="89"/>
    <tableColumn id="12" name="تاريخ التغذية الراجعة_x000a_mm/dd/yyyy" dataDxfId="88" totalsRowDxfId="87"/>
    <tableColumn id="10" name="حل فوري" dataDxfId="86" totalsRowDxfId="85">
      <calculatedColumnFormula>IF(K4="","",IF(K4=0,"نعم","لا"))</calculatedColumnFormula>
    </tableColumn>
    <tableColumn id="11" name="حل خلال 72 ساعة" dataDxfId="84" totalsRowDxfId="83">
      <calculatedColumnFormula>IF(data_entry[[#This Row],[زمن الحل(يوم)]]="", "", IF(data_entry[[#This Row],[زمن الحل(يوم)]]&lt;=3, IF(data_entry[[#This Row],[زمن الحل(يوم)]]&gt;0, "نعم", "لا"), "لا"))</calculatedColumnFormula>
    </tableColumn>
    <tableColumn id="6" name="زمن الحل(يوم)" dataDxfId="82" totalsRowDxfId="81">
      <calculatedColumnFormula>IF(OR(data_entry[[#This Row],[تاريخ الشكوي
mm/dd/yyyy]]="",data_entry[[#This Row],[تاريخ الحل
mm/dd/yyyy]]=""),"",data_entry[[#This Row],[تاريخ الحل
mm/dd/yyyy]]-data_entry[[#This Row],[تاريخ الشكوي
mm/dd/yyyy]])</calculatedColumnFormula>
    </tableColumn>
    <tableColumn id="13" name="الشهر" dataDxfId="80" totalsRowDxfId="79">
      <calculatedColumnFormula>IF(data_entry[[#This Row],[تاريخ الشكوي
mm/dd/yyyy]]="","",TEXT(data_entry[[#This Row],[تاريخ الشكوي
mm/dd/yyyy]],"mmm-yyyy"))</calculatedColumnFormula>
    </tableColumn>
    <tableColumn id="14" name="شهر الحل" dataDxfId="78" totalsRowDxfId="77">
      <calculatedColumnFormula>IF(data_entry[[#This Row],[تاريخ الحل
mm/dd/yyyy]]="","",TEXT(data_entry[[#This Row],[تاريخ الحل
mm/dd/yyyy]],"mmm-yyyy"))</calculatedColumnFormula>
    </tableColumn>
    <tableColumn id="15" name="شهر التغذية " dataDxfId="76" totalsRowDxfId="75">
      <calculatedColumnFormula>IF(data_entry[[#This Row],[تاريخ التغذية الراجعة
mm/dd/yyyy]]="","",TEXT(data_entry[[#This Row],[تاريخ التغذية الراجعة
mm/dd/yyyy]],"mmm-yy"))</calculatedColumnFormula>
    </tableColumn>
  </tableColumns>
  <tableStyleInfo name="TableStyleMedium23" showFirstColumn="1" showLastColumn="0" showRowStripes="1" showColumnStripes="0"/>
</table>
</file>

<file path=xl/tables/table2.xml><?xml version="1.0" encoding="utf-8"?>
<table xmlns="http://schemas.openxmlformats.org/spreadsheetml/2006/main" id="5" name="training" displayName="training" ref="A3:N9" totalsRowShown="0" headerRowDxfId="74" dataDxfId="72" headerRowBorderDxfId="73">
  <autoFilter ref="A3:N9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name="م" dataDxfId="71"/>
    <tableColumn id="2" name="البند" dataDxfId="70"/>
    <tableColumn id="3" name="Jan-26" dataDxfId="69"/>
    <tableColumn id="4" name="Feb-26" dataDxfId="68"/>
    <tableColumn id="5" name="Mar-26" dataDxfId="67"/>
    <tableColumn id="6" name="Apr-26" dataDxfId="0"/>
    <tableColumn id="7" name="May-26" dataDxfId="66"/>
    <tableColumn id="8" name="Jun-26" dataDxfId="65"/>
    <tableColumn id="9" name="Jul-26" dataDxfId="64"/>
    <tableColumn id="10" name="Aug-26" dataDxfId="63"/>
    <tableColumn id="11" name="Sep-26" dataDxfId="62"/>
    <tableColumn id="12" name="Oct-26" dataDxfId="61"/>
    <tableColumn id="13" name="Nov-26" dataDxfId="60"/>
    <tableColumn id="14" name="Dec-26" dataDxfId="5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6" name="Table6" displayName="Table6" ref="A4:V204" totalsRowShown="0" dataDxfId="58">
  <autoFilter ref="A4:V204"/>
  <tableColumns count="22">
    <tableColumn id="1" name="م" dataDxfId="57"/>
    <tableColumn id="2" name="اسم المريض" dataDxfId="56"/>
    <tableColumn id="3" name="الرقم الطبي" dataDxfId="55"/>
    <tableColumn id="7" name="تاريخ حدوث توقف القلب_x000a_mm/dd/yyyy" dataDxfId="54"/>
    <tableColumn id="8" name="مكان حدوث توقف القلب" dataDxfId="53"/>
    <tableColumn id="9" name="وقت اعلان Code Blue" dataDxfId="52"/>
    <tableColumn id="10" name="وقت بداية CPR" dataDxfId="51"/>
    <tableColumn id="11" name="وقت وصول فريق الCode Blue كاملا" dataDxfId="50"/>
    <tableColumn id="12" name="زمن الاستجابة للCode Blue" dataDxfId="49">
      <calculatedColumnFormula>'الإفاقة القلبية'!$H5-'الإفاقة القلبية'!$F5</calculatedColumnFormula>
    </tableColumn>
    <tableColumn id="13" name="عدد دورات CPR_x000a_(2نفس/30 ضغطة)" dataDxfId="48"/>
    <tableColumn id="14" name="وقت انتهاء CPR" dataDxfId="47"/>
    <tableColumn id="15" name="مدة الانعاش الكلية" dataDxfId="46">
      <calculatedColumnFormula>'الإفاقة القلبية'!$K5-'الإفاقة القلبية'!$G5</calculatedColumnFormula>
    </tableColumn>
    <tableColumn id="16" name="نتيجة الانعاش عند الانتهاء (نجاة / وفاة)" dataDxfId="45"/>
    <tableColumn id="18" name="نموذج التوثيق كامل البيانات " dataDxfId="44"/>
    <tableColumn id="16385" name="شهر حدوث الحدث" dataDxfId="43">
      <calculatedColumnFormula>IF(Table6[[#This Row],[تاريخ حدوث توقف القلب
mm/dd/yyyy]]="","",TEXT(Table6[[#This Row],[تاريخ حدوث توقف القلب
mm/dd/yyyy]],"mmm-yyyy"))</calculatedColumnFormula>
    </tableColumn>
    <tableColumn id="24" name="Column1" dataDxfId="42"/>
    <tableColumn id="25" name="الرعاية المركزة" dataDxfId="41"/>
    <tableColumn id="26" name="نعم" dataDxfId="40"/>
    <tableColumn id="27" name="وفاة" dataDxfId="39"/>
    <tableColumn id="28" name="نجاة" dataDxfId="38"/>
    <tableColumn id="29" name="10" dataDxfId="37"/>
    <tableColumn id="4" name="11" dataDxfId="36"/>
  </tableColumns>
  <tableStyleInfo name="TableStyleLight13" showFirstColumn="0" showLastColumn="0" showRowStripes="1" showColumnStripes="0"/>
</table>
</file>

<file path=xl/tables/table4.xml><?xml version="1.0" encoding="utf-8"?>
<table xmlns="http://schemas.openxmlformats.org/spreadsheetml/2006/main" id="1" name="Table1" displayName="Table1" ref="A3:H243" totalsRowShown="0" headerRowDxfId="35" dataDxfId="33" headerRowBorderDxfId="34" tableBorderDxfId="32" totalsRowBorderDxfId="31">
  <autoFilter ref="A3:H243"/>
  <tableColumns count="8">
    <tableColumn id="1" name="م" dataDxfId="30"/>
    <tableColumn id="2" name="التاريخ" dataDxfId="29"/>
    <tableColumn id="3" name="اسم المريض" dataDxfId="28"/>
    <tableColumn id="4" name="الرقم الطبي/ رقم السجل" dataDxfId="27"/>
    <tableColumn id="5" name="تاريخ الزيارة_x000a_mm/dd/yyyy" dataDxfId="26"/>
    <tableColumn id="6" name="ساعة الدخول" dataDxfId="25"/>
    <tableColumn id="7" name="ساعة الخروج " dataDxfId="24"/>
    <tableColumn id="8" name="الوقت  المستغرق" dataDxfId="23"/>
  </tableColumns>
  <tableStyleInfo name="TableStyleMedium3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J3:L15" totalsRowShown="0" headerRowDxfId="22" headerRowBorderDxfId="21" tableBorderDxfId="20" totalsRowBorderDxfId="19">
  <autoFilter ref="J3:L15"/>
  <tableColumns count="3">
    <tableColumn id="1" name="الشهر" dataDxfId="18"/>
    <tableColumn id="2" name="عدد مرضى اعادة الدخول خلال 72 ساعة " dataDxfId="17"/>
    <tableColumn id="3" name="اجمالي مرضى الطوارئ" dataDxfId="16"/>
  </tableColumns>
  <tableStyleInfo name="TableStyleMedium3" showFirstColumn="0" showLastColumn="0" showRowStripes="1" showColumnStripes="0"/>
</table>
</file>

<file path=xl/tables/table6.xml><?xml version="1.0" encoding="utf-8"?>
<table xmlns="http://schemas.openxmlformats.org/spreadsheetml/2006/main" id="4" name="Table4" displayName="Table4" ref="A3:M53" totalsRowShown="0" headerRowDxfId="15" dataDxfId="14">
  <autoFilter ref="A3:M53"/>
  <tableColumns count="13">
    <tableColumn id="1" name="Column1" dataDxfId="13"/>
    <tableColumn id="2" name="Column2" dataDxfId="12"/>
    <tableColumn id="3" name="Column3" dataDxfId="11"/>
    <tableColumn id="4" name="Column4" dataDxfId="10"/>
    <tableColumn id="5" name="Column5" dataDxfId="9"/>
    <tableColumn id="6" name="Column6" dataDxfId="8"/>
    <tableColumn id="7" name="Column7" dataDxfId="7"/>
    <tableColumn id="8" name="Column8" dataDxfId="6"/>
    <tableColumn id="9" name="Column9" dataDxfId="5"/>
    <tableColumn id="10" name="Column10" dataDxfId="4"/>
    <tableColumn id="11" name="Column11" dataDxfId="3"/>
    <tableColumn id="12" name="Column12" dataDxfId="2"/>
    <tableColumn id="13" name="Column13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4"/>
  <sheetViews>
    <sheetView rightToLeft="1" topLeftCell="A10" workbookViewId="0">
      <selection activeCell="C18" sqref="C18"/>
    </sheetView>
  </sheetViews>
  <sheetFormatPr defaultRowHeight="14.5" x14ac:dyDescent="0.35"/>
  <cols>
    <col min="1" max="1" width="20.6328125" style="4" customWidth="1"/>
    <col min="2" max="2" width="26.08984375" style="4" customWidth="1"/>
    <col min="3" max="3" width="17.54296875" style="4" customWidth="1"/>
    <col min="4" max="4" width="15.453125" style="4" customWidth="1"/>
    <col min="5" max="16384" width="8.7265625" style="4"/>
  </cols>
  <sheetData>
    <row r="1" spans="1:14" customFormat="1" ht="34.5" customHeight="1" thickBot="1" x14ac:dyDescent="0.4">
      <c r="A1" s="191" t="s">
        <v>211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</row>
    <row r="3" spans="1:14" ht="15.5" x14ac:dyDescent="0.35">
      <c r="A3" s="49" t="s">
        <v>113</v>
      </c>
      <c r="B3" s="192" t="s">
        <v>225</v>
      </c>
      <c r="C3" s="193"/>
    </row>
    <row r="4" spans="1:14" ht="15.5" x14ac:dyDescent="0.35">
      <c r="A4" s="50" t="s">
        <v>126</v>
      </c>
      <c r="B4" s="192" t="s">
        <v>226</v>
      </c>
      <c r="C4" s="193"/>
      <c r="D4" s="125"/>
    </row>
    <row r="5" spans="1:14" ht="15.5" x14ac:dyDescent="0.35">
      <c r="A5" s="49" t="s">
        <v>114</v>
      </c>
      <c r="B5" s="198"/>
      <c r="C5" s="199"/>
    </row>
    <row r="6" spans="1:14" ht="15.5" x14ac:dyDescent="0.35">
      <c r="A6" s="49" t="s">
        <v>115</v>
      </c>
      <c r="B6" s="198"/>
      <c r="C6" s="199"/>
    </row>
    <row r="7" spans="1:14" ht="15.5" x14ac:dyDescent="0.35">
      <c r="A7" s="49" t="s">
        <v>116</v>
      </c>
      <c r="B7" s="198"/>
      <c r="C7" s="199"/>
    </row>
    <row r="8" spans="1:14" ht="15.5" x14ac:dyDescent="0.35">
      <c r="A8" s="49" t="s">
        <v>118</v>
      </c>
      <c r="B8" s="198"/>
      <c r="C8" s="199"/>
    </row>
    <row r="9" spans="1:14" ht="15.5" x14ac:dyDescent="0.35">
      <c r="A9" s="49" t="s">
        <v>117</v>
      </c>
      <c r="B9" s="198"/>
      <c r="C9" s="199"/>
    </row>
    <row r="10" spans="1:14" ht="15.5" x14ac:dyDescent="0.35">
      <c r="A10" s="49" t="s">
        <v>119</v>
      </c>
      <c r="B10" s="198"/>
      <c r="C10" s="199"/>
    </row>
    <row r="11" spans="1:14" ht="15.5" x14ac:dyDescent="0.35">
      <c r="A11" s="49" t="s">
        <v>73</v>
      </c>
      <c r="B11" s="195"/>
      <c r="C11" s="196"/>
    </row>
    <row r="12" spans="1:14" ht="15.5" x14ac:dyDescent="0.35">
      <c r="A12" s="49" t="s">
        <v>124</v>
      </c>
      <c r="B12" s="195"/>
      <c r="C12" s="196"/>
    </row>
    <row r="13" spans="1:14" ht="15.5" x14ac:dyDescent="0.35">
      <c r="A13" s="49" t="s">
        <v>121</v>
      </c>
      <c r="B13" s="195"/>
      <c r="C13" s="196"/>
    </row>
    <row r="14" spans="1:14" ht="15.5" x14ac:dyDescent="0.35">
      <c r="A14" s="49" t="s">
        <v>125</v>
      </c>
      <c r="B14" s="195"/>
      <c r="C14" s="196"/>
    </row>
    <row r="15" spans="1:14" ht="15.5" x14ac:dyDescent="0.35">
      <c r="A15" s="49" t="s">
        <v>122</v>
      </c>
      <c r="B15" s="197"/>
      <c r="C15" s="197"/>
    </row>
    <row r="16" spans="1:14" ht="15.5" x14ac:dyDescent="0.35">
      <c r="A16" s="52"/>
      <c r="B16" s="53"/>
      <c r="C16" s="53"/>
    </row>
    <row r="17" spans="1:14" s="51" customFormat="1" ht="15.5" x14ac:dyDescent="0.35">
      <c r="A17" s="194" t="s">
        <v>120</v>
      </c>
      <c r="B17" s="54" t="s">
        <v>123</v>
      </c>
      <c r="C17" s="126">
        <v>46023</v>
      </c>
      <c r="D17" s="126">
        <v>46054</v>
      </c>
      <c r="E17" s="126">
        <v>46082</v>
      </c>
      <c r="F17" s="126">
        <v>46113</v>
      </c>
      <c r="G17" s="126">
        <v>46143</v>
      </c>
      <c r="H17" s="126">
        <v>46174</v>
      </c>
      <c r="I17" s="126">
        <v>46204</v>
      </c>
      <c r="J17" s="126">
        <v>46235</v>
      </c>
      <c r="K17" s="126">
        <v>46266</v>
      </c>
      <c r="L17" s="126">
        <v>46296</v>
      </c>
      <c r="M17" s="126">
        <v>46327</v>
      </c>
      <c r="N17" s="126">
        <v>46357</v>
      </c>
    </row>
    <row r="18" spans="1:14" ht="15.5" x14ac:dyDescent="0.35">
      <c r="A18" s="194"/>
      <c r="B18" s="130" t="s">
        <v>133</v>
      </c>
      <c r="C18" s="127"/>
      <c r="D18" s="128"/>
      <c r="E18" s="128"/>
      <c r="F18" s="128"/>
      <c r="G18" s="128"/>
      <c r="H18" s="128">
        <v>230</v>
      </c>
      <c r="I18" s="128"/>
      <c r="J18" s="128"/>
      <c r="K18" s="128"/>
      <c r="L18" s="128"/>
      <c r="M18" s="128"/>
      <c r="N18" s="128"/>
    </row>
    <row r="19" spans="1:14" ht="15.5" x14ac:dyDescent="0.35">
      <c r="A19" s="194"/>
      <c r="B19" s="131" t="s">
        <v>127</v>
      </c>
      <c r="C19" s="129"/>
      <c r="D19" s="116"/>
      <c r="E19" s="116"/>
      <c r="F19" s="116"/>
      <c r="G19" s="116"/>
      <c r="H19" s="116">
        <v>100</v>
      </c>
      <c r="I19" s="116"/>
      <c r="J19" s="116"/>
      <c r="K19" s="116"/>
      <c r="L19" s="116"/>
      <c r="M19" s="116"/>
      <c r="N19" s="116"/>
    </row>
    <row r="20" spans="1:14" ht="15.5" x14ac:dyDescent="0.35">
      <c r="A20" s="194"/>
      <c r="B20" s="131" t="s">
        <v>131</v>
      </c>
      <c r="C20" s="129"/>
      <c r="D20" s="116"/>
      <c r="E20" s="116"/>
      <c r="F20" s="116"/>
      <c r="G20" s="116"/>
      <c r="H20" s="116">
        <v>50</v>
      </c>
      <c r="I20" s="116"/>
      <c r="J20" s="116"/>
      <c r="K20" s="116"/>
      <c r="L20" s="116"/>
      <c r="M20" s="116"/>
      <c r="N20" s="116"/>
    </row>
    <row r="21" spans="1:14" ht="15.5" x14ac:dyDescent="0.35">
      <c r="A21" s="194"/>
      <c r="B21" s="131" t="s">
        <v>128</v>
      </c>
      <c r="C21" s="129"/>
      <c r="D21" s="116"/>
      <c r="E21" s="116"/>
      <c r="F21" s="116"/>
      <c r="G21" s="116"/>
      <c r="H21" s="116">
        <v>86</v>
      </c>
      <c r="I21" s="116"/>
      <c r="J21" s="116"/>
      <c r="K21" s="116"/>
      <c r="L21" s="116"/>
      <c r="M21" s="116"/>
      <c r="N21" s="116"/>
    </row>
    <row r="22" spans="1:14" ht="15.5" x14ac:dyDescent="0.35">
      <c r="A22" s="194"/>
      <c r="B22" s="132" t="s">
        <v>129</v>
      </c>
      <c r="C22" s="129" t="s">
        <v>25</v>
      </c>
      <c r="D22" s="116"/>
      <c r="E22" s="116"/>
      <c r="F22" s="116"/>
      <c r="G22" s="116"/>
      <c r="H22" s="116" t="s">
        <v>227</v>
      </c>
      <c r="I22" s="116"/>
      <c r="J22" s="116"/>
      <c r="K22" s="116"/>
      <c r="L22" s="116"/>
      <c r="M22" s="116"/>
      <c r="N22" s="116"/>
    </row>
    <row r="23" spans="1:14" ht="15.5" x14ac:dyDescent="0.35">
      <c r="A23" s="194"/>
      <c r="B23" s="133" t="s">
        <v>130</v>
      </c>
      <c r="C23" s="129"/>
      <c r="D23" s="116"/>
      <c r="E23" s="116"/>
      <c r="F23" s="116"/>
      <c r="G23" s="116"/>
      <c r="H23" s="116">
        <v>69</v>
      </c>
      <c r="I23" s="116"/>
      <c r="J23" s="116"/>
      <c r="K23" s="116"/>
      <c r="L23" s="116"/>
      <c r="M23" s="116"/>
      <c r="N23" s="116"/>
    </row>
    <row r="24" spans="1:14" ht="15.5" x14ac:dyDescent="0.35">
      <c r="A24" s="194"/>
      <c r="B24" s="133" t="s">
        <v>132</v>
      </c>
      <c r="C24" s="129"/>
      <c r="D24" s="116"/>
      <c r="E24" s="116"/>
      <c r="F24" s="116"/>
      <c r="G24" s="116"/>
      <c r="H24" s="116">
        <v>250</v>
      </c>
      <c r="I24" s="116"/>
      <c r="J24" s="116"/>
      <c r="K24" s="116"/>
      <c r="L24" s="116"/>
      <c r="M24" s="116"/>
      <c r="N24" s="116"/>
    </row>
  </sheetData>
  <sheetProtection algorithmName="SHA-512" hashValue="kce1cNovbc/WabYYsh3jXoV2Vwy1JQ75SsxudVWkCRTEQ8Pnf0ogPyhgyNSdTxWuR7gstaTXR5pBpzC6rlgUNw==" saltValue="REEqKN5AtwR2wdc23MHPew==" spinCount="100000" sheet="1" objects="1" scenarios="1"/>
  <mergeCells count="15">
    <mergeCell ref="A1:N1"/>
    <mergeCell ref="B3:C3"/>
    <mergeCell ref="B4:C4"/>
    <mergeCell ref="A17:A24"/>
    <mergeCell ref="B11:C11"/>
    <mergeCell ref="B12:C12"/>
    <mergeCell ref="B13:C13"/>
    <mergeCell ref="B14:C14"/>
    <mergeCell ref="B15:C15"/>
    <mergeCell ref="B10:C10"/>
    <mergeCell ref="B9:C9"/>
    <mergeCell ref="B8:C8"/>
    <mergeCell ref="B7:C7"/>
    <mergeCell ref="B5:C5"/>
    <mergeCell ref="B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52"/>
  <sheetViews>
    <sheetView rightToLeft="1" workbookViewId="0">
      <selection activeCell="F6" sqref="F6"/>
    </sheetView>
  </sheetViews>
  <sheetFormatPr defaultRowHeight="14.5" x14ac:dyDescent="0.35"/>
  <cols>
    <col min="1" max="1" width="8.7265625" style="3"/>
    <col min="2" max="2" width="13.453125" style="6" customWidth="1"/>
    <col min="3" max="3" width="12" style="1" customWidth="1"/>
    <col min="4" max="4" width="23.26953125" style="1" customWidth="1"/>
    <col min="5" max="5" width="8.7265625" style="3"/>
    <col min="6" max="6" width="11.26953125" style="6" customWidth="1"/>
    <col min="7" max="7" width="17" style="1" bestFit="1" customWidth="1"/>
    <col min="8" max="8" width="17" style="6" customWidth="1"/>
    <col min="9" max="9" width="10" style="3" customWidth="1"/>
    <col min="10" max="10" width="16.81640625" style="3" customWidth="1"/>
    <col min="11" max="11" width="10.81640625" style="5" bestFit="1" customWidth="1"/>
    <col min="12" max="12" width="0" style="12" hidden="1" customWidth="1"/>
    <col min="13" max="13" width="12" style="4" hidden="1" customWidth="1"/>
    <col min="14" max="14" width="12" style="8" hidden="1" customWidth="1"/>
    <col min="15" max="15" width="22.81640625" style="9" hidden="1" customWidth="1"/>
    <col min="16" max="16" width="15.1796875" style="4" hidden="1" customWidth="1"/>
    <col min="17" max="18" width="0" style="4" hidden="1" customWidth="1"/>
    <col min="19" max="16384" width="8.7265625" style="4"/>
  </cols>
  <sheetData>
    <row r="1" spans="1:18" customFormat="1" ht="34.5" customHeight="1" thickBot="1" x14ac:dyDescent="0.4">
      <c r="A1" s="200" t="s">
        <v>206</v>
      </c>
      <c r="B1" s="200"/>
      <c r="C1" s="200"/>
      <c r="D1" s="200"/>
      <c r="E1" s="200"/>
      <c r="F1" s="200"/>
      <c r="G1" s="200"/>
      <c r="H1" s="200"/>
      <c r="I1" s="200"/>
      <c r="J1" s="200"/>
      <c r="K1" s="200"/>
      <c r="L1" s="200"/>
      <c r="M1" s="200"/>
      <c r="N1" s="200"/>
      <c r="O1" s="200"/>
      <c r="P1" s="200"/>
      <c r="Q1" s="200"/>
    </row>
    <row r="2" spans="1:18" customFormat="1" ht="17.5" customHeight="1" x14ac:dyDescent="0.35">
      <c r="A2" s="58"/>
      <c r="B2" s="58"/>
      <c r="C2" s="58"/>
      <c r="D2" s="58"/>
      <c r="E2" s="58"/>
      <c r="F2" s="58"/>
      <c r="G2" s="58"/>
      <c r="H2" s="58"/>
      <c r="I2" s="58"/>
      <c r="J2" s="58"/>
      <c r="K2" s="58"/>
      <c r="L2" s="57"/>
      <c r="M2" s="57"/>
      <c r="N2" s="57"/>
      <c r="O2" s="57"/>
      <c r="P2" s="57"/>
      <c r="Q2" s="57"/>
    </row>
    <row r="3" spans="1:18" customFormat="1" ht="34.5" customHeight="1" x14ac:dyDescent="0.35">
      <c r="A3" s="59" t="s">
        <v>0</v>
      </c>
      <c r="B3" s="60" t="s">
        <v>213</v>
      </c>
      <c r="C3" s="59" t="s">
        <v>1</v>
      </c>
      <c r="D3" s="59" t="s">
        <v>2</v>
      </c>
      <c r="E3" s="59" t="s">
        <v>3</v>
      </c>
      <c r="F3" s="60" t="s">
        <v>214</v>
      </c>
      <c r="G3" s="59" t="s">
        <v>4</v>
      </c>
      <c r="H3" s="60" t="s">
        <v>215</v>
      </c>
      <c r="I3" s="59" t="s">
        <v>5</v>
      </c>
      <c r="J3" s="59" t="s">
        <v>6</v>
      </c>
      <c r="K3" s="59" t="s">
        <v>29</v>
      </c>
      <c r="L3" s="59" t="s">
        <v>36</v>
      </c>
      <c r="M3" s="59" t="s">
        <v>37</v>
      </c>
      <c r="N3" t="s">
        <v>64</v>
      </c>
      <c r="O3" t="s">
        <v>7</v>
      </c>
      <c r="P3" t="s">
        <v>22</v>
      </c>
      <c r="Q3" t="s">
        <v>3</v>
      </c>
    </row>
    <row r="4" spans="1:18" ht="20" customHeight="1" x14ac:dyDescent="0.35">
      <c r="A4" s="3">
        <v>1</v>
      </c>
      <c r="B4" s="6">
        <v>46176</v>
      </c>
      <c r="C4" s="1" t="s">
        <v>10</v>
      </c>
      <c r="D4" s="1" t="s">
        <v>228</v>
      </c>
      <c r="E4" s="3" t="str">
        <f>IF(data_entry[[#This Row],[تاريخ الشكوي
mm/dd/yyyy]]="","",IF(data_entry[[#This Row],[تاريخ الحل
mm/dd/yyyy]]="","جاري الحل","تم الحل"))</f>
        <v>تم الحل</v>
      </c>
      <c r="F4" s="6">
        <v>46177</v>
      </c>
      <c r="G4" s="1" t="s">
        <v>23</v>
      </c>
      <c r="I4" s="3" t="str">
        <f t="shared" ref="I4:I67" si="0">IF(K4="","",IF(K4=0,"نعم","لا"))</f>
        <v>لا</v>
      </c>
      <c r="J4" s="3" t="str">
        <f>IF(data_entry[[#This Row],[زمن الحل(يوم)]]="", "", IF(data_entry[[#This Row],[زمن الحل(يوم)]]&lt;=3, IF(data_entry[[#This Row],[زمن الحل(يوم)]]&gt;0, "نعم", "لا"), "لا"))</f>
        <v>نعم</v>
      </c>
      <c r="K4" s="3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>1</v>
      </c>
      <c r="L4" s="11" t="str">
        <f>IF(data_entry[[#This Row],[تاريخ الشكوي
mm/dd/yyyy]]="","",TEXT(data_entry[[#This Row],[تاريخ الشكوي
mm/dd/yyyy]],"mmm-yyyy"))</f>
        <v>Jun-2026</v>
      </c>
      <c r="M4" s="5" t="str">
        <f>IF(data_entry[[#This Row],[تاريخ الحل
mm/dd/yyyy]]="","",TEXT(data_entry[[#This Row],[تاريخ الحل
mm/dd/yyyy]],"mmm-yyyy"))</f>
        <v>Jun-2026</v>
      </c>
      <c r="N4" s="21" t="str">
        <f>IF(data_entry[[#This Row],[تاريخ التغذية الراجعة
mm/dd/yyyy]]="","",TEXT(data_entry[[#This Row],[تاريخ التغذية الراجعة
mm/dd/yyyy]],"mmm-yy"))</f>
        <v/>
      </c>
      <c r="O4" s="9" t="s">
        <v>17</v>
      </c>
      <c r="P4" s="4" t="s">
        <v>23</v>
      </c>
      <c r="Q4" s="4" t="s">
        <v>27</v>
      </c>
      <c r="R4" s="4">
        <v>0</v>
      </c>
    </row>
    <row r="5" spans="1:18" ht="20" customHeight="1" x14ac:dyDescent="0.35">
      <c r="A5" s="3">
        <v>2</v>
      </c>
      <c r="B5" s="6">
        <v>46178</v>
      </c>
      <c r="C5" s="1" t="s">
        <v>12</v>
      </c>
      <c r="D5" s="1" t="s">
        <v>229</v>
      </c>
      <c r="E5" s="3" t="str">
        <f>IF(data_entry[[#This Row],[تاريخ الشكوي
mm/dd/yyyy]]="","",IF(data_entry[[#This Row],[تاريخ الحل
mm/dd/yyyy]]="","جاري الحل","تم الحل"))</f>
        <v>تم الحل</v>
      </c>
      <c r="F5" s="6">
        <v>46182</v>
      </c>
      <c r="I5" s="3" t="str">
        <f t="shared" si="0"/>
        <v>لا</v>
      </c>
      <c r="J5" s="3" t="str">
        <f>IF(data_entry[[#This Row],[زمن الحل(يوم)]]="", "", IF(data_entry[[#This Row],[زمن الحل(يوم)]]&lt;=3, IF(data_entry[[#This Row],[زمن الحل(يوم)]]&gt;0, "نعم", "لا"), "لا"))</f>
        <v>لا</v>
      </c>
      <c r="K5" s="3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>4</v>
      </c>
      <c r="L5" s="11" t="str">
        <f>IF(data_entry[[#This Row],[تاريخ الشكوي
mm/dd/yyyy]]="","",TEXT(data_entry[[#This Row],[تاريخ الشكوي
mm/dd/yyyy]],"mmm-yyyy"))</f>
        <v>Jun-2026</v>
      </c>
      <c r="M5" s="5" t="str">
        <f>IF(data_entry[[#This Row],[تاريخ الحل
mm/dd/yyyy]]="","",TEXT(data_entry[[#This Row],[تاريخ الحل
mm/dd/yyyy]],"mmm-yyyy"))</f>
        <v>Jun-2026</v>
      </c>
      <c r="N5" s="21" t="str">
        <f>IF(data_entry[[#This Row],[تاريخ التغذية الراجعة
mm/dd/yyyy]]="","",TEXT(data_entry[[#This Row],[تاريخ التغذية الراجعة
mm/dd/yyyy]],"mmm-yy"))</f>
        <v/>
      </c>
      <c r="O5" s="9" t="s">
        <v>8</v>
      </c>
      <c r="P5" s="4" t="s">
        <v>24</v>
      </c>
      <c r="Q5" s="4" t="s">
        <v>28</v>
      </c>
      <c r="R5" s="4">
        <v>1</v>
      </c>
    </row>
    <row r="6" spans="1:18" ht="20" customHeight="1" x14ac:dyDescent="0.35">
      <c r="A6" s="3">
        <v>3</v>
      </c>
      <c r="B6" s="6">
        <v>46206</v>
      </c>
      <c r="C6" s="1" t="s">
        <v>11</v>
      </c>
      <c r="D6" s="1" t="s">
        <v>230</v>
      </c>
      <c r="E6" s="3" t="str">
        <f>IF(data_entry[[#This Row],[تاريخ الشكوي
mm/dd/yyyy]]="","",IF(data_entry[[#This Row],[تاريخ الحل
mm/dd/yyyy]]="","جاري الحل","تم الحل"))</f>
        <v>تم الحل</v>
      </c>
      <c r="F6" s="6">
        <v>46235</v>
      </c>
      <c r="G6" s="1" t="s">
        <v>23</v>
      </c>
      <c r="H6" s="6">
        <v>46215</v>
      </c>
      <c r="I6" s="3" t="str">
        <f t="shared" si="0"/>
        <v>لا</v>
      </c>
      <c r="J6" s="3" t="str">
        <f>IF(data_entry[[#This Row],[زمن الحل(يوم)]]="", "", IF(data_entry[[#This Row],[زمن الحل(يوم)]]&lt;=3, IF(data_entry[[#This Row],[زمن الحل(يوم)]]&gt;0, "نعم", "لا"), "لا"))</f>
        <v>لا</v>
      </c>
      <c r="K6" s="3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>29</v>
      </c>
      <c r="L6" s="11" t="str">
        <f>IF(data_entry[[#This Row],[تاريخ الشكوي
mm/dd/yyyy]]="","",TEXT(data_entry[[#This Row],[تاريخ الشكوي
mm/dd/yyyy]],"mmm-yyyy"))</f>
        <v>Jul-2026</v>
      </c>
      <c r="M6" s="5" t="str">
        <f>IF(data_entry[[#This Row],[تاريخ الحل
mm/dd/yyyy]]="","",TEXT(data_entry[[#This Row],[تاريخ الحل
mm/dd/yyyy]],"mmm-yyyy"))</f>
        <v>Aug-2026</v>
      </c>
      <c r="N6" s="21" t="str">
        <f>IF(data_entry[[#This Row],[تاريخ التغذية الراجعة
mm/dd/yyyy]]="","",TEXT(data_entry[[#This Row],[تاريخ التغذية الراجعة
mm/dd/yyyy]],"mmm-yy"))</f>
        <v>Jul-26</v>
      </c>
      <c r="O6" s="9" t="s">
        <v>9</v>
      </c>
      <c r="P6" s="4" t="s">
        <v>25</v>
      </c>
    </row>
    <row r="7" spans="1:18" ht="20" customHeight="1" x14ac:dyDescent="0.35">
      <c r="A7" s="3">
        <v>4</v>
      </c>
      <c r="E7" s="3" t="str">
        <f>IF(data_entry[[#This Row],[تاريخ الشكوي
mm/dd/yyyy]]="","",IF(data_entry[[#This Row],[تاريخ الحل
mm/dd/yyyy]]="","جاري الحل","تم الحل"))</f>
        <v/>
      </c>
      <c r="I7" s="3" t="str">
        <f t="shared" si="0"/>
        <v/>
      </c>
      <c r="J7" s="3" t="str">
        <f>IF(data_entry[[#This Row],[زمن الحل(يوم)]]="", "", IF(data_entry[[#This Row],[زمن الحل(يوم)]]&lt;=3, IF(data_entry[[#This Row],[زمن الحل(يوم)]]&gt;0, "نعم", "لا"), "لا"))</f>
        <v/>
      </c>
      <c r="K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" s="11" t="str">
        <f>IF(data_entry[[#This Row],[تاريخ الشكوي
mm/dd/yyyy]]="","",TEXT(data_entry[[#This Row],[تاريخ الشكوي
mm/dd/yyyy]],"mmm-yyyy"))</f>
        <v/>
      </c>
      <c r="M7" s="5" t="str">
        <f>IF(data_entry[[#This Row],[تاريخ الحل
mm/dd/yyyy]]="","",TEXT(data_entry[[#This Row],[تاريخ الحل
mm/dd/yyyy]],"mmm-yyyy"))</f>
        <v/>
      </c>
      <c r="N7" s="21" t="str">
        <f>IF(data_entry[[#This Row],[تاريخ التغذية الراجعة
mm/dd/yyyy]]="","",TEXT(data_entry[[#This Row],[تاريخ التغذية الراجعة
mm/dd/yyyy]],"mmm-yy"))</f>
        <v/>
      </c>
      <c r="O7" s="9" t="s">
        <v>10</v>
      </c>
    </row>
    <row r="8" spans="1:18" ht="20" customHeight="1" x14ac:dyDescent="0.35">
      <c r="A8" s="3" t="s">
        <v>63</v>
      </c>
      <c r="E8" s="3" t="str">
        <f>IF(data_entry[[#This Row],[تاريخ الشكوي
mm/dd/yyyy]]="","",IF(data_entry[[#This Row],[تاريخ الحل
mm/dd/yyyy]]="","جاري الحل","تم الحل"))</f>
        <v/>
      </c>
      <c r="I8" s="3" t="str">
        <f t="shared" si="0"/>
        <v/>
      </c>
      <c r="J8" s="3" t="str">
        <f>IF(data_entry[[#This Row],[زمن الحل(يوم)]]="", "", IF(data_entry[[#This Row],[زمن الحل(يوم)]]&lt;=3, IF(data_entry[[#This Row],[زمن الحل(يوم)]]&gt;0, "نعم", "لا"), "لا"))</f>
        <v/>
      </c>
      <c r="K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" s="11" t="str">
        <f>IF(data_entry[[#This Row],[تاريخ الشكوي
mm/dd/yyyy]]="","",TEXT(data_entry[[#This Row],[تاريخ الشكوي
mm/dd/yyyy]],"mmm-yyyy"))</f>
        <v/>
      </c>
      <c r="M8" s="5" t="str">
        <f>IF(data_entry[[#This Row],[تاريخ الحل
mm/dd/yyyy]]="","",TEXT(data_entry[[#This Row],[تاريخ الحل
mm/dd/yyyy]],"mmm-yyyy"))</f>
        <v/>
      </c>
      <c r="N8" s="21" t="str">
        <f>IF(data_entry[[#This Row],[تاريخ التغذية الراجعة
mm/dd/yyyy]]="","",TEXT(data_entry[[#This Row],[تاريخ التغذية الراجعة
mm/dd/yyyy]],"mmm-yy"))</f>
        <v/>
      </c>
      <c r="O8" s="9" t="s">
        <v>11</v>
      </c>
    </row>
    <row r="9" spans="1:18" ht="20" customHeight="1" x14ac:dyDescent="0.35">
      <c r="A9" s="3">
        <v>6</v>
      </c>
      <c r="E9" s="3" t="str">
        <f>IF(data_entry[[#This Row],[تاريخ الشكوي
mm/dd/yyyy]]="","",IF(data_entry[[#This Row],[تاريخ الحل
mm/dd/yyyy]]="","جاري الحل","تم الحل"))</f>
        <v/>
      </c>
      <c r="I9" s="3" t="str">
        <f t="shared" si="0"/>
        <v/>
      </c>
      <c r="J9" s="3" t="str">
        <f>IF(data_entry[[#This Row],[زمن الحل(يوم)]]="", "", IF(data_entry[[#This Row],[زمن الحل(يوم)]]&lt;=3, IF(data_entry[[#This Row],[زمن الحل(يوم)]]&gt;0, "نعم", "لا"), "لا"))</f>
        <v/>
      </c>
      <c r="K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" s="11" t="str">
        <f>IF(data_entry[[#This Row],[تاريخ الشكوي
mm/dd/yyyy]]="","",TEXT(data_entry[[#This Row],[تاريخ الشكوي
mm/dd/yyyy]],"mmm-yyyy"))</f>
        <v/>
      </c>
      <c r="M9" s="5" t="str">
        <f>IF(data_entry[[#This Row],[تاريخ الحل
mm/dd/yyyy]]="","",TEXT(data_entry[[#This Row],[تاريخ الحل
mm/dd/yyyy]],"mmm-yyyy"))</f>
        <v/>
      </c>
      <c r="N9" s="21" t="str">
        <f>IF(data_entry[[#This Row],[تاريخ التغذية الراجعة
mm/dd/yyyy]]="","",TEXT(data_entry[[#This Row],[تاريخ التغذية الراجعة
mm/dd/yyyy]],"mmm-yy"))</f>
        <v/>
      </c>
      <c r="O9" s="9" t="s">
        <v>12</v>
      </c>
    </row>
    <row r="10" spans="1:18" ht="20" customHeight="1" x14ac:dyDescent="0.35">
      <c r="A10" s="3">
        <v>7</v>
      </c>
      <c r="E10" s="3" t="str">
        <f>IF(data_entry[[#This Row],[تاريخ الشكوي
mm/dd/yyyy]]="","",IF(data_entry[[#This Row],[تاريخ الحل
mm/dd/yyyy]]="","جاري الحل","تم الحل"))</f>
        <v/>
      </c>
      <c r="I10" s="3" t="str">
        <f t="shared" si="0"/>
        <v/>
      </c>
      <c r="J10" s="3" t="str">
        <f>IF(data_entry[[#This Row],[زمن الحل(يوم)]]="", "", IF(data_entry[[#This Row],[زمن الحل(يوم)]]&lt;=3, IF(data_entry[[#This Row],[زمن الحل(يوم)]]&gt;0, "نعم", "لا"), "لا"))</f>
        <v/>
      </c>
      <c r="K1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" s="11" t="str">
        <f>IF(data_entry[[#This Row],[تاريخ الشكوي
mm/dd/yyyy]]="","",TEXT(data_entry[[#This Row],[تاريخ الشكوي
mm/dd/yyyy]],"mmm-yyyy"))</f>
        <v/>
      </c>
      <c r="M10" s="5" t="str">
        <f>IF(data_entry[[#This Row],[تاريخ الحل
mm/dd/yyyy]]="","",TEXT(data_entry[[#This Row],[تاريخ الحل
mm/dd/yyyy]],"mmm-yyyy"))</f>
        <v/>
      </c>
      <c r="N10" s="21" t="str">
        <f>IF(data_entry[[#This Row],[تاريخ التغذية الراجعة
mm/dd/yyyy]]="","",TEXT(data_entry[[#This Row],[تاريخ التغذية الراجعة
mm/dd/yyyy]],"mmm-yy"))</f>
        <v/>
      </c>
      <c r="O10" s="9" t="s">
        <v>13</v>
      </c>
    </row>
    <row r="11" spans="1:18" ht="20" customHeight="1" x14ac:dyDescent="0.35">
      <c r="A11" s="3">
        <v>9</v>
      </c>
      <c r="E11" s="3" t="str">
        <f>IF(data_entry[[#This Row],[تاريخ الشكوي
mm/dd/yyyy]]="","",IF(data_entry[[#This Row],[تاريخ الحل
mm/dd/yyyy]]="","جاري الحل","تم الحل"))</f>
        <v/>
      </c>
      <c r="I11" s="3" t="str">
        <f t="shared" si="0"/>
        <v/>
      </c>
      <c r="J11" s="3" t="str">
        <f>IF(data_entry[[#This Row],[زمن الحل(يوم)]]="", "", IF(data_entry[[#This Row],[زمن الحل(يوم)]]&lt;=3, IF(data_entry[[#This Row],[زمن الحل(يوم)]]&gt;0, "نعم", "لا"), "لا"))</f>
        <v/>
      </c>
      <c r="K1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" s="11" t="str">
        <f>IF(data_entry[[#This Row],[تاريخ الشكوي
mm/dd/yyyy]]="","",TEXT(data_entry[[#This Row],[تاريخ الشكوي
mm/dd/yyyy]],"mmm-yyyy"))</f>
        <v/>
      </c>
      <c r="M11" s="5" t="str">
        <f>IF(data_entry[[#This Row],[تاريخ الحل
mm/dd/yyyy]]="","",TEXT(data_entry[[#This Row],[تاريخ الحل
mm/dd/yyyy]],"mmm-yyyy"))</f>
        <v/>
      </c>
      <c r="N11" s="21" t="str">
        <f>IF(data_entry[[#This Row],[تاريخ التغذية الراجعة
mm/dd/yyyy]]="","",TEXT(data_entry[[#This Row],[تاريخ التغذية الراجعة
mm/dd/yyyy]],"mmm-yy"))</f>
        <v/>
      </c>
      <c r="O11" s="9" t="s">
        <v>14</v>
      </c>
    </row>
    <row r="12" spans="1:18" ht="20" customHeight="1" x14ac:dyDescent="0.35">
      <c r="A12" s="3">
        <v>10</v>
      </c>
      <c r="E12" s="3" t="str">
        <f>IF(data_entry[[#This Row],[تاريخ الشكوي
mm/dd/yyyy]]="","",IF(data_entry[[#This Row],[تاريخ الحل
mm/dd/yyyy]]="","جاري الحل","تم الحل"))</f>
        <v/>
      </c>
      <c r="I12" s="3" t="str">
        <f t="shared" si="0"/>
        <v/>
      </c>
      <c r="J12" s="3" t="str">
        <f>IF(data_entry[[#This Row],[زمن الحل(يوم)]]="", "", IF(data_entry[[#This Row],[زمن الحل(يوم)]]&lt;=3, IF(data_entry[[#This Row],[زمن الحل(يوم)]]&gt;0, "نعم", "لا"), "لا"))</f>
        <v/>
      </c>
      <c r="K12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" s="11" t="str">
        <f>IF(data_entry[[#This Row],[تاريخ الشكوي
mm/dd/yyyy]]="","",TEXT(data_entry[[#This Row],[تاريخ الشكوي
mm/dd/yyyy]],"mmm-yyyy"))</f>
        <v/>
      </c>
      <c r="M12" s="5" t="str">
        <f>IF(data_entry[[#This Row],[تاريخ الحل
mm/dd/yyyy]]="","",TEXT(data_entry[[#This Row],[تاريخ الحل
mm/dd/yyyy]],"mmm-yyyy"))</f>
        <v/>
      </c>
      <c r="N12" s="21" t="str">
        <f>IF(data_entry[[#This Row],[تاريخ التغذية الراجعة
mm/dd/yyyy]]="","",TEXT(data_entry[[#This Row],[تاريخ التغذية الراجعة
mm/dd/yyyy]],"mmm-yy"))</f>
        <v/>
      </c>
      <c r="O12" s="9" t="s">
        <v>15</v>
      </c>
    </row>
    <row r="13" spans="1:18" ht="20" customHeight="1" x14ac:dyDescent="0.35">
      <c r="A13" s="3">
        <v>11</v>
      </c>
      <c r="E13" s="3" t="str">
        <f>IF(data_entry[[#This Row],[تاريخ الشكوي
mm/dd/yyyy]]="","",IF(data_entry[[#This Row],[تاريخ الحل
mm/dd/yyyy]]="","جاري الحل","تم الحل"))</f>
        <v/>
      </c>
      <c r="I13" s="3" t="str">
        <f t="shared" si="0"/>
        <v/>
      </c>
      <c r="J13" s="3" t="str">
        <f>IF(data_entry[[#This Row],[زمن الحل(يوم)]]="", "", IF(data_entry[[#This Row],[زمن الحل(يوم)]]&lt;=3, IF(data_entry[[#This Row],[زمن الحل(يوم)]]&gt;0, "نعم", "لا"), "لا"))</f>
        <v/>
      </c>
      <c r="K13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" s="11" t="str">
        <f>IF(data_entry[[#This Row],[تاريخ الشكوي
mm/dd/yyyy]]="","",TEXT(data_entry[[#This Row],[تاريخ الشكوي
mm/dd/yyyy]],"mmm-yyyy"))</f>
        <v/>
      </c>
      <c r="M13" s="5" t="str">
        <f>IF(data_entry[[#This Row],[تاريخ الحل
mm/dd/yyyy]]="","",TEXT(data_entry[[#This Row],[تاريخ الحل
mm/dd/yyyy]],"mmm-yyyy"))</f>
        <v/>
      </c>
      <c r="N13" s="21" t="str">
        <f>IF(data_entry[[#This Row],[تاريخ التغذية الراجعة
mm/dd/yyyy]]="","",TEXT(data_entry[[#This Row],[تاريخ التغذية الراجعة
mm/dd/yyyy]],"mmm-yy"))</f>
        <v/>
      </c>
      <c r="O13" s="9" t="s">
        <v>16</v>
      </c>
    </row>
    <row r="14" spans="1:18" ht="20" customHeight="1" x14ac:dyDescent="0.35">
      <c r="A14" s="3">
        <v>12</v>
      </c>
      <c r="E14" s="3" t="str">
        <f>IF(data_entry[[#This Row],[تاريخ الشكوي
mm/dd/yyyy]]="","",IF(data_entry[[#This Row],[تاريخ الحل
mm/dd/yyyy]]="","جاري الحل","تم الحل"))</f>
        <v/>
      </c>
      <c r="I14" s="3" t="str">
        <f t="shared" si="0"/>
        <v/>
      </c>
      <c r="J14" s="3" t="str">
        <f>IF(data_entry[[#This Row],[زمن الحل(يوم)]]="", "", IF(data_entry[[#This Row],[زمن الحل(يوم)]]&lt;=3, IF(data_entry[[#This Row],[زمن الحل(يوم)]]&gt;0, "نعم", "لا"), "لا"))</f>
        <v/>
      </c>
      <c r="K14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" s="11" t="str">
        <f>IF(data_entry[[#This Row],[تاريخ الشكوي
mm/dd/yyyy]]="","",TEXT(data_entry[[#This Row],[تاريخ الشكوي
mm/dd/yyyy]],"mmm-yyyy"))</f>
        <v/>
      </c>
      <c r="M14" s="5" t="str">
        <f>IF(data_entry[[#This Row],[تاريخ الحل
mm/dd/yyyy]]="","",TEXT(data_entry[[#This Row],[تاريخ الحل
mm/dd/yyyy]],"mmm-yyyy"))</f>
        <v/>
      </c>
      <c r="N14" s="21" t="str">
        <f>IF(data_entry[[#This Row],[تاريخ التغذية الراجعة
mm/dd/yyyy]]="","",TEXT(data_entry[[#This Row],[تاريخ التغذية الراجعة
mm/dd/yyyy]],"mmm-yy"))</f>
        <v/>
      </c>
      <c r="O14" s="10" t="s">
        <v>18</v>
      </c>
    </row>
    <row r="15" spans="1:18" ht="20" customHeight="1" x14ac:dyDescent="0.35">
      <c r="A15" s="3">
        <v>13</v>
      </c>
      <c r="E15" s="3" t="str">
        <f>IF(data_entry[[#This Row],[تاريخ الشكوي
mm/dd/yyyy]]="","",IF(data_entry[[#This Row],[تاريخ الحل
mm/dd/yyyy]]="","جاري الحل","تم الحل"))</f>
        <v/>
      </c>
      <c r="I15" s="3" t="str">
        <f t="shared" si="0"/>
        <v/>
      </c>
      <c r="J15" s="3" t="str">
        <f>IF(data_entry[[#This Row],[زمن الحل(يوم)]]="", "", IF(data_entry[[#This Row],[زمن الحل(يوم)]]&lt;=3, IF(data_entry[[#This Row],[زمن الحل(يوم)]]&gt;0, "نعم", "لا"), "لا"))</f>
        <v/>
      </c>
      <c r="K15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" s="11" t="str">
        <f>IF(data_entry[[#This Row],[تاريخ الشكوي
mm/dd/yyyy]]="","",TEXT(data_entry[[#This Row],[تاريخ الشكوي
mm/dd/yyyy]],"mmm-yyyy"))</f>
        <v/>
      </c>
      <c r="M15" s="5" t="str">
        <f>IF(data_entry[[#This Row],[تاريخ الحل
mm/dd/yyyy]]="","",TEXT(data_entry[[#This Row],[تاريخ الحل
mm/dd/yyyy]],"mmm-yyyy"))</f>
        <v/>
      </c>
      <c r="N15" s="21" t="str">
        <f>IF(data_entry[[#This Row],[تاريخ التغذية الراجعة
mm/dd/yyyy]]="","",TEXT(data_entry[[#This Row],[تاريخ التغذية الراجعة
mm/dd/yyyy]],"mmm-yy"))</f>
        <v/>
      </c>
      <c r="O15" s="9" t="s">
        <v>19</v>
      </c>
    </row>
    <row r="16" spans="1:18" ht="20" customHeight="1" x14ac:dyDescent="0.35">
      <c r="A16" s="3">
        <v>14</v>
      </c>
      <c r="E16" s="3" t="str">
        <f>IF(data_entry[[#This Row],[تاريخ الشكوي
mm/dd/yyyy]]="","",IF(data_entry[[#This Row],[تاريخ الحل
mm/dd/yyyy]]="","جاري الحل","تم الحل"))</f>
        <v/>
      </c>
      <c r="I16" s="3" t="str">
        <f t="shared" si="0"/>
        <v/>
      </c>
      <c r="J16" s="3" t="str">
        <f>IF(data_entry[[#This Row],[زمن الحل(يوم)]]="", "", IF(data_entry[[#This Row],[زمن الحل(يوم)]]&lt;=3, IF(data_entry[[#This Row],[زمن الحل(يوم)]]&gt;0, "نعم", "لا"), "لا"))</f>
        <v/>
      </c>
      <c r="K16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" s="11" t="str">
        <f>IF(data_entry[[#This Row],[تاريخ الشكوي
mm/dd/yyyy]]="","",TEXT(data_entry[[#This Row],[تاريخ الشكوي
mm/dd/yyyy]],"mmm-yyyy"))</f>
        <v/>
      </c>
      <c r="M16" s="5" t="str">
        <f>IF(data_entry[[#This Row],[تاريخ الحل
mm/dd/yyyy]]="","",TEXT(data_entry[[#This Row],[تاريخ الحل
mm/dd/yyyy]],"mmm-yyyy"))</f>
        <v/>
      </c>
      <c r="N16" s="21" t="str">
        <f>IF(data_entry[[#This Row],[تاريخ التغذية الراجعة
mm/dd/yyyy]]="","",TEXT(data_entry[[#This Row],[تاريخ التغذية الراجعة
mm/dd/yyyy]],"mmm-yy"))</f>
        <v/>
      </c>
      <c r="O16" s="9" t="s">
        <v>20</v>
      </c>
    </row>
    <row r="17" spans="1:15" ht="20" customHeight="1" x14ac:dyDescent="0.35">
      <c r="A17" s="3">
        <v>15</v>
      </c>
      <c r="E17" s="3" t="str">
        <f>IF(data_entry[[#This Row],[تاريخ الشكوي
mm/dd/yyyy]]="","",IF(data_entry[[#This Row],[تاريخ الحل
mm/dd/yyyy]]="","جاري الحل","تم الحل"))</f>
        <v/>
      </c>
      <c r="I17" s="3" t="str">
        <f t="shared" si="0"/>
        <v/>
      </c>
      <c r="J17" s="3" t="str">
        <f>IF(data_entry[[#This Row],[زمن الحل(يوم)]]="", "", IF(data_entry[[#This Row],[زمن الحل(يوم)]]&lt;=3, IF(data_entry[[#This Row],[زمن الحل(يوم)]]&gt;0, "نعم", "لا"), "لا"))</f>
        <v/>
      </c>
      <c r="K17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" s="11" t="str">
        <f>IF(data_entry[[#This Row],[تاريخ الشكوي
mm/dd/yyyy]]="","",TEXT(data_entry[[#This Row],[تاريخ الشكوي
mm/dd/yyyy]],"mmm-yyyy"))</f>
        <v/>
      </c>
      <c r="M17" s="5" t="str">
        <f>IF(data_entry[[#This Row],[تاريخ الحل
mm/dd/yyyy]]="","",TEXT(data_entry[[#This Row],[تاريخ الحل
mm/dd/yyyy]],"mmm-yyyy"))</f>
        <v/>
      </c>
      <c r="N17" s="21" t="str">
        <f>IF(data_entry[[#This Row],[تاريخ التغذية الراجعة
mm/dd/yyyy]]="","",TEXT(data_entry[[#This Row],[تاريخ التغذية الراجعة
mm/dd/yyyy]],"mmm-yy"))</f>
        <v/>
      </c>
      <c r="O17" s="9" t="s">
        <v>21</v>
      </c>
    </row>
    <row r="18" spans="1:15" ht="20" customHeight="1" x14ac:dyDescent="0.35">
      <c r="A18" s="3">
        <v>16</v>
      </c>
      <c r="E18" s="3" t="str">
        <f>IF(data_entry[[#This Row],[تاريخ الشكوي
mm/dd/yyyy]]="","",IF(data_entry[[#This Row],[تاريخ الحل
mm/dd/yyyy]]="","جاري الحل","تم الحل"))</f>
        <v/>
      </c>
      <c r="I18" s="3" t="str">
        <f t="shared" si="0"/>
        <v/>
      </c>
      <c r="J18" s="3" t="str">
        <f>IF(data_entry[[#This Row],[زمن الحل(يوم)]]="", "", IF(data_entry[[#This Row],[زمن الحل(يوم)]]&lt;=3, IF(data_entry[[#This Row],[زمن الحل(يوم)]]&gt;0, "نعم", "لا"), "لا"))</f>
        <v/>
      </c>
      <c r="K18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" s="11" t="str">
        <f>IF(data_entry[[#This Row],[تاريخ الشكوي
mm/dd/yyyy]]="","",TEXT(data_entry[[#This Row],[تاريخ الشكوي
mm/dd/yyyy]],"mmm-yyyy"))</f>
        <v/>
      </c>
      <c r="M18" s="5" t="str">
        <f>IF(data_entry[[#This Row],[تاريخ الحل
mm/dd/yyyy]]="","",TEXT(data_entry[[#This Row],[تاريخ الحل
mm/dd/yyyy]],"mmm-yyyy"))</f>
        <v/>
      </c>
      <c r="N18" s="21" t="str">
        <f>IF(data_entry[[#This Row],[تاريخ التغذية الراجعة
mm/dd/yyyy]]="","",TEXT(data_entry[[#This Row],[تاريخ التغذية الراجعة
mm/dd/yyyy]],"mmm-yy"))</f>
        <v/>
      </c>
    </row>
    <row r="19" spans="1:15" ht="20" customHeight="1" x14ac:dyDescent="0.35">
      <c r="A19" s="3">
        <v>17</v>
      </c>
      <c r="E19" s="3" t="str">
        <f>IF(data_entry[[#This Row],[تاريخ الشكوي
mm/dd/yyyy]]="","",IF(data_entry[[#This Row],[تاريخ الحل
mm/dd/yyyy]]="","جاري الحل","تم الحل"))</f>
        <v/>
      </c>
      <c r="I19" s="3" t="str">
        <f t="shared" si="0"/>
        <v/>
      </c>
      <c r="J19" s="3" t="str">
        <f>IF(data_entry[[#This Row],[زمن الحل(يوم)]]="", "", IF(data_entry[[#This Row],[زمن الحل(يوم)]]&lt;=3, IF(data_entry[[#This Row],[زمن الحل(يوم)]]&gt;0, "نعم", "لا"), "لا"))</f>
        <v/>
      </c>
      <c r="K19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" s="11" t="str">
        <f>IF(data_entry[[#This Row],[تاريخ الشكوي
mm/dd/yyyy]]="","",TEXT(data_entry[[#This Row],[تاريخ الشكوي
mm/dd/yyyy]],"mmm-yyyy"))</f>
        <v/>
      </c>
      <c r="M19" s="5" t="str">
        <f>IF(data_entry[[#This Row],[تاريخ الحل
mm/dd/yyyy]]="","",TEXT(data_entry[[#This Row],[تاريخ الحل
mm/dd/yyyy]],"mmm-yyyy"))</f>
        <v/>
      </c>
      <c r="N19" s="21" t="str">
        <f>IF(data_entry[[#This Row],[تاريخ التغذية الراجعة
mm/dd/yyyy]]="","",TEXT(data_entry[[#This Row],[تاريخ التغذية الراجعة
mm/dd/yyyy]],"mmm-yy"))</f>
        <v/>
      </c>
    </row>
    <row r="20" spans="1:15" ht="20" customHeight="1" x14ac:dyDescent="0.35">
      <c r="A20" s="3">
        <v>18</v>
      </c>
      <c r="E20" s="3" t="str">
        <f>IF(data_entry[[#This Row],[تاريخ الشكوي
mm/dd/yyyy]]="","",IF(data_entry[[#This Row],[تاريخ الحل
mm/dd/yyyy]]="","جاري الحل","تم الحل"))</f>
        <v/>
      </c>
      <c r="I20" s="3" t="str">
        <f t="shared" si="0"/>
        <v/>
      </c>
      <c r="J20" s="3" t="str">
        <f>IF(data_entry[[#This Row],[زمن الحل(يوم)]]="", "", IF(data_entry[[#This Row],[زمن الحل(يوم)]]&lt;=3, IF(data_entry[[#This Row],[زمن الحل(يوم)]]&gt;0, "نعم", "لا"), "لا"))</f>
        <v/>
      </c>
      <c r="K20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" s="11" t="str">
        <f>IF(data_entry[[#This Row],[تاريخ الشكوي
mm/dd/yyyy]]="","",TEXT(data_entry[[#This Row],[تاريخ الشكوي
mm/dd/yyyy]],"mmm-yyyy"))</f>
        <v/>
      </c>
      <c r="M20" s="5" t="str">
        <f>IF(data_entry[[#This Row],[تاريخ الحل
mm/dd/yyyy]]="","",TEXT(data_entry[[#This Row],[تاريخ الحل
mm/dd/yyyy]],"mmm-yyyy"))</f>
        <v/>
      </c>
      <c r="N20" s="21" t="str">
        <f>IF(data_entry[[#This Row],[تاريخ التغذية الراجعة
mm/dd/yyyy]]="","",TEXT(data_entry[[#This Row],[تاريخ التغذية الراجعة
mm/dd/yyyy]],"mmm-yy"))</f>
        <v/>
      </c>
    </row>
    <row r="21" spans="1:15" ht="20" customHeight="1" x14ac:dyDescent="0.35">
      <c r="A21" s="3">
        <v>19</v>
      </c>
      <c r="E21" s="3" t="str">
        <f>IF(data_entry[[#This Row],[تاريخ الشكوي
mm/dd/yyyy]]="","",IF(data_entry[[#This Row],[تاريخ الحل
mm/dd/yyyy]]="","جاري الحل","تم الحل"))</f>
        <v/>
      </c>
      <c r="I21" s="3" t="str">
        <f t="shared" si="0"/>
        <v/>
      </c>
      <c r="J21" s="3" t="str">
        <f>IF(data_entry[[#This Row],[زمن الحل(يوم)]]="", "", IF(data_entry[[#This Row],[زمن الحل(يوم)]]&lt;=3, IF(data_entry[[#This Row],[زمن الحل(يوم)]]&gt;0, "نعم", "لا"), "لا"))</f>
        <v/>
      </c>
      <c r="K21" s="3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" s="11" t="str">
        <f>IF(data_entry[[#This Row],[تاريخ الشكوي
mm/dd/yyyy]]="","",TEXT(data_entry[[#This Row],[تاريخ الشكوي
mm/dd/yyyy]],"mmm-yyyy"))</f>
        <v/>
      </c>
      <c r="M21" s="5" t="str">
        <f>IF(data_entry[[#This Row],[تاريخ الحل
mm/dd/yyyy]]="","",TEXT(data_entry[[#This Row],[تاريخ الحل
mm/dd/yyyy]],"mmm-yyyy"))</f>
        <v/>
      </c>
      <c r="N21" s="21" t="str">
        <f>IF(data_entry[[#This Row],[تاريخ التغذية الراجعة
mm/dd/yyyy]]="","",TEXT(data_entry[[#This Row],[تاريخ التغذية الراجعة
mm/dd/yyyy]],"mmm-yy"))</f>
        <v/>
      </c>
    </row>
    <row r="22" spans="1:15" ht="20" customHeight="1" x14ac:dyDescent="0.35">
      <c r="A22" s="3">
        <v>20</v>
      </c>
      <c r="E22" s="3" t="str">
        <f>IF(data_entry[[#This Row],[تاريخ الشكوي
mm/dd/yyyy]]="","",IF(data_entry[[#This Row],[تاريخ الحل
mm/dd/yyyy]]="","جاري الحل","تم الحل"))</f>
        <v/>
      </c>
      <c r="I22" s="3" t="str">
        <f t="shared" si="0"/>
        <v/>
      </c>
      <c r="J22" s="3" t="str">
        <f>IF(data_entry[[#This Row],[زمن الحل(يوم)]]="", "", IF(data_entry[[#This Row],[زمن الحل(يوم)]]&lt;=3, IF(data_entry[[#This Row],[زمن الحل(يوم)]]&gt;0, "نعم", "لا"), "لا"))</f>
        <v/>
      </c>
      <c r="K2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" s="11" t="str">
        <f>IF(data_entry[[#This Row],[تاريخ الشكوي
mm/dd/yyyy]]="","",TEXT(data_entry[[#This Row],[تاريخ الشكوي
mm/dd/yyyy]],"mmm-yyyy"))</f>
        <v/>
      </c>
      <c r="M22" s="5" t="str">
        <f>IF(data_entry[[#This Row],[تاريخ الحل
mm/dd/yyyy]]="","",TEXT(data_entry[[#This Row],[تاريخ الحل
mm/dd/yyyy]],"mmm-yyyy"))</f>
        <v/>
      </c>
      <c r="N22" s="21" t="str">
        <f>IF(data_entry[[#This Row],[تاريخ التغذية الراجعة
mm/dd/yyyy]]="","",TEXT(data_entry[[#This Row],[تاريخ التغذية الراجعة
mm/dd/yyyy]],"mmm-yy"))</f>
        <v/>
      </c>
    </row>
    <row r="23" spans="1:15" ht="20" customHeight="1" x14ac:dyDescent="0.35">
      <c r="A23" s="3">
        <v>21</v>
      </c>
      <c r="E23" s="3" t="str">
        <f>IF(data_entry[[#This Row],[تاريخ الشكوي
mm/dd/yyyy]]="","",IF(data_entry[[#This Row],[تاريخ الحل
mm/dd/yyyy]]="","جاري الحل","تم الحل"))</f>
        <v/>
      </c>
      <c r="I23" s="3" t="str">
        <f t="shared" si="0"/>
        <v/>
      </c>
      <c r="J23" s="3" t="str">
        <f>IF(data_entry[[#This Row],[زمن الحل(يوم)]]="", "", IF(data_entry[[#This Row],[زمن الحل(يوم)]]&lt;=3, IF(data_entry[[#This Row],[زمن الحل(يوم)]]&gt;0, "نعم", "لا"), "لا"))</f>
        <v/>
      </c>
      <c r="K2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" s="11" t="str">
        <f>IF(data_entry[[#This Row],[تاريخ الشكوي
mm/dd/yyyy]]="","",TEXT(data_entry[[#This Row],[تاريخ الشكوي
mm/dd/yyyy]],"mmm-yyyy"))</f>
        <v/>
      </c>
      <c r="M23" s="5" t="str">
        <f>IF(data_entry[[#This Row],[تاريخ الحل
mm/dd/yyyy]]="","",TEXT(data_entry[[#This Row],[تاريخ الحل
mm/dd/yyyy]],"mmm-yyyy"))</f>
        <v/>
      </c>
      <c r="N23" s="21" t="str">
        <f>IF(data_entry[[#This Row],[تاريخ التغذية الراجعة
mm/dd/yyyy]]="","",TEXT(data_entry[[#This Row],[تاريخ التغذية الراجعة
mm/dd/yyyy]],"mmm-yy"))</f>
        <v/>
      </c>
    </row>
    <row r="24" spans="1:15" ht="20" customHeight="1" x14ac:dyDescent="0.35">
      <c r="A24" s="3">
        <v>22</v>
      </c>
      <c r="E24" s="3" t="str">
        <f>IF(data_entry[[#This Row],[تاريخ الشكوي
mm/dd/yyyy]]="","",IF(data_entry[[#This Row],[تاريخ الحل
mm/dd/yyyy]]="","جاري الحل","تم الحل"))</f>
        <v/>
      </c>
      <c r="I24" s="3" t="str">
        <f t="shared" si="0"/>
        <v/>
      </c>
      <c r="J24" s="3" t="str">
        <f>IF(data_entry[[#This Row],[زمن الحل(يوم)]]="", "", IF(data_entry[[#This Row],[زمن الحل(يوم)]]&lt;=3, IF(data_entry[[#This Row],[زمن الحل(يوم)]]&gt;0, "نعم", "لا"), "لا"))</f>
        <v/>
      </c>
      <c r="K2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" s="11" t="str">
        <f>IF(data_entry[[#This Row],[تاريخ الشكوي
mm/dd/yyyy]]="","",TEXT(data_entry[[#This Row],[تاريخ الشكوي
mm/dd/yyyy]],"mmm-yyyy"))</f>
        <v/>
      </c>
      <c r="M24" s="5" t="str">
        <f>IF(data_entry[[#This Row],[تاريخ الحل
mm/dd/yyyy]]="","",TEXT(data_entry[[#This Row],[تاريخ الحل
mm/dd/yyyy]],"mmm-yyyy"))</f>
        <v/>
      </c>
      <c r="N24" s="21" t="str">
        <f>IF(data_entry[[#This Row],[تاريخ التغذية الراجعة
mm/dd/yyyy]]="","",TEXT(data_entry[[#This Row],[تاريخ التغذية الراجعة
mm/dd/yyyy]],"mmm-yy"))</f>
        <v/>
      </c>
    </row>
    <row r="25" spans="1:15" ht="20" customHeight="1" x14ac:dyDescent="0.35">
      <c r="A25" s="3">
        <v>23</v>
      </c>
      <c r="E25" s="3" t="str">
        <f>IF(data_entry[[#This Row],[تاريخ الشكوي
mm/dd/yyyy]]="","",IF(data_entry[[#This Row],[تاريخ الحل
mm/dd/yyyy]]="","جاري الحل","تم الحل"))</f>
        <v/>
      </c>
      <c r="I25" s="3" t="str">
        <f t="shared" si="0"/>
        <v/>
      </c>
      <c r="J25" s="3" t="str">
        <f>IF(data_entry[[#This Row],[زمن الحل(يوم)]]="", "", IF(data_entry[[#This Row],[زمن الحل(يوم)]]&lt;=3, IF(data_entry[[#This Row],[زمن الحل(يوم)]]&gt;0, "نعم", "لا"), "لا"))</f>
        <v/>
      </c>
      <c r="K2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" s="11" t="str">
        <f>IF(data_entry[[#This Row],[تاريخ الشكوي
mm/dd/yyyy]]="","",TEXT(data_entry[[#This Row],[تاريخ الشكوي
mm/dd/yyyy]],"mmm-yyyy"))</f>
        <v/>
      </c>
      <c r="M25" s="5" t="str">
        <f>IF(data_entry[[#This Row],[تاريخ الحل
mm/dd/yyyy]]="","",TEXT(data_entry[[#This Row],[تاريخ الحل
mm/dd/yyyy]],"mmm-yyyy"))</f>
        <v/>
      </c>
      <c r="N25" s="21" t="str">
        <f>IF(data_entry[[#This Row],[تاريخ التغذية الراجعة
mm/dd/yyyy]]="","",TEXT(data_entry[[#This Row],[تاريخ التغذية الراجعة
mm/dd/yyyy]],"mmm-yy"))</f>
        <v/>
      </c>
    </row>
    <row r="26" spans="1:15" ht="20" customHeight="1" x14ac:dyDescent="0.35">
      <c r="A26" s="3">
        <v>24</v>
      </c>
      <c r="E26" s="3" t="str">
        <f>IF(data_entry[[#This Row],[تاريخ الشكوي
mm/dd/yyyy]]="","",IF(data_entry[[#This Row],[تاريخ الحل
mm/dd/yyyy]]="","جاري الحل","تم الحل"))</f>
        <v/>
      </c>
      <c r="I26" s="3" t="str">
        <f t="shared" si="0"/>
        <v/>
      </c>
      <c r="J26" s="3" t="str">
        <f>IF(data_entry[[#This Row],[زمن الحل(يوم)]]="", "", IF(data_entry[[#This Row],[زمن الحل(يوم)]]&lt;=3, IF(data_entry[[#This Row],[زمن الحل(يوم)]]&gt;0, "نعم", "لا"), "لا"))</f>
        <v/>
      </c>
      <c r="K2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" s="11" t="str">
        <f>IF(data_entry[[#This Row],[تاريخ الشكوي
mm/dd/yyyy]]="","",TEXT(data_entry[[#This Row],[تاريخ الشكوي
mm/dd/yyyy]],"mmm-yyyy"))</f>
        <v/>
      </c>
      <c r="M26" s="5" t="str">
        <f>IF(data_entry[[#This Row],[تاريخ الحل
mm/dd/yyyy]]="","",TEXT(data_entry[[#This Row],[تاريخ الحل
mm/dd/yyyy]],"mmm-yyyy"))</f>
        <v/>
      </c>
      <c r="N26" s="21" t="str">
        <f>IF(data_entry[[#This Row],[تاريخ التغذية الراجعة
mm/dd/yyyy]]="","",TEXT(data_entry[[#This Row],[تاريخ التغذية الراجعة
mm/dd/yyyy]],"mmm-yy"))</f>
        <v/>
      </c>
    </row>
    <row r="27" spans="1:15" ht="20" customHeight="1" x14ac:dyDescent="0.35">
      <c r="A27" s="3">
        <v>25</v>
      </c>
      <c r="E27" s="3" t="str">
        <f>IF(data_entry[[#This Row],[تاريخ الشكوي
mm/dd/yyyy]]="","",IF(data_entry[[#This Row],[تاريخ الحل
mm/dd/yyyy]]="","جاري الحل","تم الحل"))</f>
        <v/>
      </c>
      <c r="I27" s="3" t="str">
        <f t="shared" si="0"/>
        <v/>
      </c>
      <c r="J27" s="3" t="str">
        <f>IF(data_entry[[#This Row],[زمن الحل(يوم)]]="", "", IF(data_entry[[#This Row],[زمن الحل(يوم)]]&lt;=3, IF(data_entry[[#This Row],[زمن الحل(يوم)]]&gt;0, "نعم", "لا"), "لا"))</f>
        <v/>
      </c>
      <c r="K2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" s="11" t="str">
        <f>IF(data_entry[[#This Row],[تاريخ الشكوي
mm/dd/yyyy]]="","",TEXT(data_entry[[#This Row],[تاريخ الشكوي
mm/dd/yyyy]],"mmm-yyyy"))</f>
        <v/>
      </c>
      <c r="M27" s="5" t="str">
        <f>IF(data_entry[[#This Row],[تاريخ الحل
mm/dd/yyyy]]="","",TEXT(data_entry[[#This Row],[تاريخ الحل
mm/dd/yyyy]],"mmm-yyyy"))</f>
        <v/>
      </c>
      <c r="N27" s="21" t="str">
        <f>IF(data_entry[[#This Row],[تاريخ التغذية الراجعة
mm/dd/yyyy]]="","",TEXT(data_entry[[#This Row],[تاريخ التغذية الراجعة
mm/dd/yyyy]],"mmm-yy"))</f>
        <v/>
      </c>
    </row>
    <row r="28" spans="1:15" ht="20" customHeight="1" x14ac:dyDescent="0.35">
      <c r="A28" s="3">
        <v>26</v>
      </c>
      <c r="E28" s="3" t="str">
        <f>IF(data_entry[[#This Row],[تاريخ الشكوي
mm/dd/yyyy]]="","",IF(data_entry[[#This Row],[تاريخ الحل
mm/dd/yyyy]]="","جاري الحل","تم الحل"))</f>
        <v/>
      </c>
      <c r="I28" s="3" t="str">
        <f t="shared" si="0"/>
        <v/>
      </c>
      <c r="J28" s="3" t="str">
        <f>IF(data_entry[[#This Row],[زمن الحل(يوم)]]="", "", IF(data_entry[[#This Row],[زمن الحل(يوم)]]&lt;=3, IF(data_entry[[#This Row],[زمن الحل(يوم)]]&gt;0, "نعم", "لا"), "لا"))</f>
        <v/>
      </c>
      <c r="K2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" s="11" t="str">
        <f>IF(data_entry[[#This Row],[تاريخ الشكوي
mm/dd/yyyy]]="","",TEXT(data_entry[[#This Row],[تاريخ الشكوي
mm/dd/yyyy]],"mmm-yyyy"))</f>
        <v/>
      </c>
      <c r="M28" s="5" t="str">
        <f>IF(data_entry[[#This Row],[تاريخ الحل
mm/dd/yyyy]]="","",TEXT(data_entry[[#This Row],[تاريخ الحل
mm/dd/yyyy]],"mmm-yyyy"))</f>
        <v/>
      </c>
      <c r="N28" s="21" t="str">
        <f>IF(data_entry[[#This Row],[تاريخ التغذية الراجعة
mm/dd/yyyy]]="","",TEXT(data_entry[[#This Row],[تاريخ التغذية الراجعة
mm/dd/yyyy]],"mmm-yy"))</f>
        <v/>
      </c>
    </row>
    <row r="29" spans="1:15" ht="20" customHeight="1" x14ac:dyDescent="0.35">
      <c r="A29" s="3">
        <v>27</v>
      </c>
      <c r="E29" s="3" t="str">
        <f>IF(data_entry[[#This Row],[تاريخ الشكوي
mm/dd/yyyy]]="","",IF(data_entry[[#This Row],[تاريخ الحل
mm/dd/yyyy]]="","جاري الحل","تم الحل"))</f>
        <v/>
      </c>
      <c r="I29" s="3" t="str">
        <f t="shared" si="0"/>
        <v/>
      </c>
      <c r="J29" s="3" t="str">
        <f>IF(data_entry[[#This Row],[زمن الحل(يوم)]]="", "", IF(data_entry[[#This Row],[زمن الحل(يوم)]]&lt;=3, IF(data_entry[[#This Row],[زمن الحل(يوم)]]&gt;0, "نعم", "لا"), "لا"))</f>
        <v/>
      </c>
      <c r="K2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" s="11" t="str">
        <f>IF(data_entry[[#This Row],[تاريخ الشكوي
mm/dd/yyyy]]="","",TEXT(data_entry[[#This Row],[تاريخ الشكوي
mm/dd/yyyy]],"mmm-yyyy"))</f>
        <v/>
      </c>
      <c r="M29" s="5" t="str">
        <f>IF(data_entry[[#This Row],[تاريخ الحل
mm/dd/yyyy]]="","",TEXT(data_entry[[#This Row],[تاريخ الحل
mm/dd/yyyy]],"mmm-yyyy"))</f>
        <v/>
      </c>
      <c r="N29" s="21" t="str">
        <f>IF(data_entry[[#This Row],[تاريخ التغذية الراجعة
mm/dd/yyyy]]="","",TEXT(data_entry[[#This Row],[تاريخ التغذية الراجعة
mm/dd/yyyy]],"mmm-yy"))</f>
        <v/>
      </c>
    </row>
    <row r="30" spans="1:15" ht="20" customHeight="1" x14ac:dyDescent="0.35">
      <c r="A30" s="3">
        <v>28</v>
      </c>
      <c r="E30" s="3" t="str">
        <f>IF(data_entry[[#This Row],[تاريخ الشكوي
mm/dd/yyyy]]="","",IF(data_entry[[#This Row],[تاريخ الحل
mm/dd/yyyy]]="","جاري الحل","تم الحل"))</f>
        <v/>
      </c>
      <c r="I30" s="3" t="str">
        <f t="shared" si="0"/>
        <v/>
      </c>
      <c r="J30" s="3" t="str">
        <f>IF(data_entry[[#This Row],[زمن الحل(يوم)]]="", "", IF(data_entry[[#This Row],[زمن الحل(يوم)]]&lt;=3, IF(data_entry[[#This Row],[زمن الحل(يوم)]]&gt;0, "نعم", "لا"), "لا"))</f>
        <v/>
      </c>
      <c r="K3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" s="11" t="str">
        <f>IF(data_entry[[#This Row],[تاريخ الشكوي
mm/dd/yyyy]]="","",TEXT(data_entry[[#This Row],[تاريخ الشكوي
mm/dd/yyyy]],"mmm-yyyy"))</f>
        <v/>
      </c>
      <c r="M30" s="5" t="str">
        <f>IF(data_entry[[#This Row],[تاريخ الحل
mm/dd/yyyy]]="","",TEXT(data_entry[[#This Row],[تاريخ الحل
mm/dd/yyyy]],"mmm-yyyy"))</f>
        <v/>
      </c>
      <c r="N30" s="21" t="str">
        <f>IF(data_entry[[#This Row],[تاريخ التغذية الراجعة
mm/dd/yyyy]]="","",TEXT(data_entry[[#This Row],[تاريخ التغذية الراجعة
mm/dd/yyyy]],"mmm-yy"))</f>
        <v/>
      </c>
    </row>
    <row r="31" spans="1:15" ht="20" customHeight="1" x14ac:dyDescent="0.35">
      <c r="A31" s="3">
        <v>29</v>
      </c>
      <c r="E31" s="3" t="str">
        <f>IF(data_entry[[#This Row],[تاريخ الشكوي
mm/dd/yyyy]]="","",IF(data_entry[[#This Row],[تاريخ الحل
mm/dd/yyyy]]="","جاري الحل","تم الحل"))</f>
        <v/>
      </c>
      <c r="I31" s="3" t="str">
        <f t="shared" si="0"/>
        <v/>
      </c>
      <c r="J31" s="3" t="str">
        <f>IF(data_entry[[#This Row],[زمن الحل(يوم)]]="", "", IF(data_entry[[#This Row],[زمن الحل(يوم)]]&lt;=3, IF(data_entry[[#This Row],[زمن الحل(يوم)]]&gt;0, "نعم", "لا"), "لا"))</f>
        <v/>
      </c>
      <c r="K3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" s="11" t="str">
        <f>IF(data_entry[[#This Row],[تاريخ الشكوي
mm/dd/yyyy]]="","",TEXT(data_entry[[#This Row],[تاريخ الشكوي
mm/dd/yyyy]],"mmm-yyyy"))</f>
        <v/>
      </c>
      <c r="M31" s="5" t="str">
        <f>IF(data_entry[[#This Row],[تاريخ الحل
mm/dd/yyyy]]="","",TEXT(data_entry[[#This Row],[تاريخ الحل
mm/dd/yyyy]],"mmm-yyyy"))</f>
        <v/>
      </c>
      <c r="N31" s="21" t="str">
        <f>IF(data_entry[[#This Row],[تاريخ التغذية الراجعة
mm/dd/yyyy]]="","",TEXT(data_entry[[#This Row],[تاريخ التغذية الراجعة
mm/dd/yyyy]],"mmm-yy"))</f>
        <v/>
      </c>
    </row>
    <row r="32" spans="1:15" ht="20" customHeight="1" x14ac:dyDescent="0.35">
      <c r="A32" s="3">
        <v>30</v>
      </c>
      <c r="E32" s="3" t="str">
        <f>IF(data_entry[[#This Row],[تاريخ الشكوي
mm/dd/yyyy]]="","",IF(data_entry[[#This Row],[تاريخ الحل
mm/dd/yyyy]]="","جاري الحل","تم الحل"))</f>
        <v/>
      </c>
      <c r="I32" s="3" t="str">
        <f t="shared" si="0"/>
        <v/>
      </c>
      <c r="J32" s="3" t="str">
        <f>IF(data_entry[[#This Row],[زمن الحل(يوم)]]="", "", IF(data_entry[[#This Row],[زمن الحل(يوم)]]&lt;=3, IF(data_entry[[#This Row],[زمن الحل(يوم)]]&gt;0, "نعم", "لا"), "لا"))</f>
        <v/>
      </c>
      <c r="K3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" s="11" t="str">
        <f>IF(data_entry[[#This Row],[تاريخ الشكوي
mm/dd/yyyy]]="","",TEXT(data_entry[[#This Row],[تاريخ الشكوي
mm/dd/yyyy]],"mmm-yyyy"))</f>
        <v/>
      </c>
      <c r="M32" s="5" t="str">
        <f>IF(data_entry[[#This Row],[تاريخ الحل
mm/dd/yyyy]]="","",TEXT(data_entry[[#This Row],[تاريخ الحل
mm/dd/yyyy]],"mmm-yyyy"))</f>
        <v/>
      </c>
      <c r="N32" s="21" t="str">
        <f>IF(data_entry[[#This Row],[تاريخ التغذية الراجعة
mm/dd/yyyy]]="","",TEXT(data_entry[[#This Row],[تاريخ التغذية الراجعة
mm/dd/yyyy]],"mmm-yy"))</f>
        <v/>
      </c>
    </row>
    <row r="33" spans="1:14" ht="20" customHeight="1" x14ac:dyDescent="0.35">
      <c r="A33" s="3">
        <v>31</v>
      </c>
      <c r="E33" s="3" t="str">
        <f>IF(data_entry[[#This Row],[تاريخ الشكوي
mm/dd/yyyy]]="","",IF(data_entry[[#This Row],[تاريخ الحل
mm/dd/yyyy]]="","جاري الحل","تم الحل"))</f>
        <v/>
      </c>
      <c r="I33" s="3" t="str">
        <f t="shared" si="0"/>
        <v/>
      </c>
      <c r="J33" s="3" t="str">
        <f>IF(data_entry[[#This Row],[زمن الحل(يوم)]]="", "", IF(data_entry[[#This Row],[زمن الحل(يوم)]]&lt;=3, IF(data_entry[[#This Row],[زمن الحل(يوم)]]&gt;0, "نعم", "لا"), "لا"))</f>
        <v/>
      </c>
      <c r="K3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" s="11" t="str">
        <f>IF(data_entry[[#This Row],[تاريخ الشكوي
mm/dd/yyyy]]="","",TEXT(data_entry[[#This Row],[تاريخ الشكوي
mm/dd/yyyy]],"mmm-yyyy"))</f>
        <v/>
      </c>
      <c r="M33" s="5" t="str">
        <f>IF(data_entry[[#This Row],[تاريخ الحل
mm/dd/yyyy]]="","",TEXT(data_entry[[#This Row],[تاريخ الحل
mm/dd/yyyy]],"mmm-yyyy"))</f>
        <v/>
      </c>
      <c r="N33" s="21" t="str">
        <f>IF(data_entry[[#This Row],[تاريخ التغذية الراجعة
mm/dd/yyyy]]="","",TEXT(data_entry[[#This Row],[تاريخ التغذية الراجعة
mm/dd/yyyy]],"mmm-yy"))</f>
        <v/>
      </c>
    </row>
    <row r="34" spans="1:14" ht="20" customHeight="1" x14ac:dyDescent="0.35">
      <c r="A34" s="3">
        <v>32</v>
      </c>
      <c r="E34" s="3" t="str">
        <f>IF(data_entry[[#This Row],[تاريخ الشكوي
mm/dd/yyyy]]="","",IF(data_entry[[#This Row],[تاريخ الحل
mm/dd/yyyy]]="","جاري الحل","تم الحل"))</f>
        <v/>
      </c>
      <c r="I34" s="3" t="str">
        <f t="shared" si="0"/>
        <v/>
      </c>
      <c r="J34" s="3" t="str">
        <f>IF(data_entry[[#This Row],[زمن الحل(يوم)]]="", "", IF(data_entry[[#This Row],[زمن الحل(يوم)]]&lt;=3, IF(data_entry[[#This Row],[زمن الحل(يوم)]]&gt;0, "نعم", "لا"), "لا"))</f>
        <v/>
      </c>
      <c r="K3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" s="11" t="str">
        <f>IF(data_entry[[#This Row],[تاريخ الشكوي
mm/dd/yyyy]]="","",TEXT(data_entry[[#This Row],[تاريخ الشكوي
mm/dd/yyyy]],"mmm-yyyy"))</f>
        <v/>
      </c>
      <c r="M34" s="5" t="str">
        <f>IF(data_entry[[#This Row],[تاريخ الحل
mm/dd/yyyy]]="","",TEXT(data_entry[[#This Row],[تاريخ الحل
mm/dd/yyyy]],"mmm-yyyy"))</f>
        <v/>
      </c>
      <c r="N34" s="21" t="str">
        <f>IF(data_entry[[#This Row],[تاريخ التغذية الراجعة
mm/dd/yyyy]]="","",TEXT(data_entry[[#This Row],[تاريخ التغذية الراجعة
mm/dd/yyyy]],"mmm-yy"))</f>
        <v/>
      </c>
    </row>
    <row r="35" spans="1:14" ht="20" customHeight="1" x14ac:dyDescent="0.35">
      <c r="A35" s="3">
        <v>33</v>
      </c>
      <c r="E35" s="3" t="str">
        <f>IF(data_entry[[#This Row],[تاريخ الشكوي
mm/dd/yyyy]]="","",IF(data_entry[[#This Row],[تاريخ الحل
mm/dd/yyyy]]="","جاري الحل","تم الحل"))</f>
        <v/>
      </c>
      <c r="I35" s="3" t="str">
        <f t="shared" si="0"/>
        <v/>
      </c>
      <c r="J35" s="3" t="str">
        <f>IF(data_entry[[#This Row],[زمن الحل(يوم)]]="", "", IF(data_entry[[#This Row],[زمن الحل(يوم)]]&lt;=3, IF(data_entry[[#This Row],[زمن الحل(يوم)]]&gt;0, "نعم", "لا"), "لا"))</f>
        <v/>
      </c>
      <c r="K3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" s="11" t="str">
        <f>IF(data_entry[[#This Row],[تاريخ الشكوي
mm/dd/yyyy]]="","",TEXT(data_entry[[#This Row],[تاريخ الشكوي
mm/dd/yyyy]],"mmm-yyyy"))</f>
        <v/>
      </c>
      <c r="M35" s="5" t="str">
        <f>IF(data_entry[[#This Row],[تاريخ الحل
mm/dd/yyyy]]="","",TEXT(data_entry[[#This Row],[تاريخ الحل
mm/dd/yyyy]],"mmm-yyyy"))</f>
        <v/>
      </c>
      <c r="N35" s="21" t="str">
        <f>IF(data_entry[[#This Row],[تاريخ التغذية الراجعة
mm/dd/yyyy]]="","",TEXT(data_entry[[#This Row],[تاريخ التغذية الراجعة
mm/dd/yyyy]],"mmm-yy"))</f>
        <v/>
      </c>
    </row>
    <row r="36" spans="1:14" ht="20" customHeight="1" x14ac:dyDescent="0.35">
      <c r="A36" s="3">
        <v>34</v>
      </c>
      <c r="E36" s="3" t="str">
        <f>IF(data_entry[[#This Row],[تاريخ الشكوي
mm/dd/yyyy]]="","",IF(data_entry[[#This Row],[تاريخ الحل
mm/dd/yyyy]]="","جاري الحل","تم الحل"))</f>
        <v/>
      </c>
      <c r="I36" s="3" t="str">
        <f t="shared" si="0"/>
        <v/>
      </c>
      <c r="J36" s="3" t="str">
        <f>IF(data_entry[[#This Row],[زمن الحل(يوم)]]="", "", IF(data_entry[[#This Row],[زمن الحل(يوم)]]&lt;=3, IF(data_entry[[#This Row],[زمن الحل(يوم)]]&gt;0, "نعم", "لا"), "لا"))</f>
        <v/>
      </c>
      <c r="K3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6" s="11" t="str">
        <f>IF(data_entry[[#This Row],[تاريخ الشكوي
mm/dd/yyyy]]="","",TEXT(data_entry[[#This Row],[تاريخ الشكوي
mm/dd/yyyy]],"mmm-yyyy"))</f>
        <v/>
      </c>
      <c r="M36" s="5" t="str">
        <f>IF(data_entry[[#This Row],[تاريخ الحل
mm/dd/yyyy]]="","",TEXT(data_entry[[#This Row],[تاريخ الحل
mm/dd/yyyy]],"mmm-yyyy"))</f>
        <v/>
      </c>
      <c r="N36" s="21" t="str">
        <f>IF(data_entry[[#This Row],[تاريخ التغذية الراجعة
mm/dd/yyyy]]="","",TEXT(data_entry[[#This Row],[تاريخ التغذية الراجعة
mm/dd/yyyy]],"mmm-yy"))</f>
        <v/>
      </c>
    </row>
    <row r="37" spans="1:14" ht="20" customHeight="1" x14ac:dyDescent="0.35">
      <c r="A37" s="3">
        <v>35</v>
      </c>
      <c r="E37" s="3" t="str">
        <f>IF(data_entry[[#This Row],[تاريخ الشكوي
mm/dd/yyyy]]="","",IF(data_entry[[#This Row],[تاريخ الحل
mm/dd/yyyy]]="","جاري الحل","تم الحل"))</f>
        <v/>
      </c>
      <c r="I37" s="3" t="str">
        <f t="shared" si="0"/>
        <v/>
      </c>
      <c r="J37" s="3" t="str">
        <f>IF(data_entry[[#This Row],[زمن الحل(يوم)]]="", "", IF(data_entry[[#This Row],[زمن الحل(يوم)]]&lt;=3, IF(data_entry[[#This Row],[زمن الحل(يوم)]]&gt;0, "نعم", "لا"), "لا"))</f>
        <v/>
      </c>
      <c r="K3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7" s="11" t="str">
        <f>IF(data_entry[[#This Row],[تاريخ الشكوي
mm/dd/yyyy]]="","",TEXT(data_entry[[#This Row],[تاريخ الشكوي
mm/dd/yyyy]],"mmm-yyyy"))</f>
        <v/>
      </c>
      <c r="M37" s="5" t="str">
        <f>IF(data_entry[[#This Row],[تاريخ الحل
mm/dd/yyyy]]="","",TEXT(data_entry[[#This Row],[تاريخ الحل
mm/dd/yyyy]],"mmm-yyyy"))</f>
        <v/>
      </c>
      <c r="N37" s="21" t="str">
        <f>IF(data_entry[[#This Row],[تاريخ التغذية الراجعة
mm/dd/yyyy]]="","",TEXT(data_entry[[#This Row],[تاريخ التغذية الراجعة
mm/dd/yyyy]],"mmm-yy"))</f>
        <v/>
      </c>
    </row>
    <row r="38" spans="1:14" ht="20" customHeight="1" x14ac:dyDescent="0.35">
      <c r="A38" s="3">
        <v>36</v>
      </c>
      <c r="E38" s="3" t="str">
        <f>IF(data_entry[[#This Row],[تاريخ الشكوي
mm/dd/yyyy]]="","",IF(data_entry[[#This Row],[تاريخ الحل
mm/dd/yyyy]]="","جاري الحل","تم الحل"))</f>
        <v/>
      </c>
      <c r="I38" s="3" t="str">
        <f t="shared" si="0"/>
        <v/>
      </c>
      <c r="J38" s="3" t="str">
        <f>IF(data_entry[[#This Row],[زمن الحل(يوم)]]="", "", IF(data_entry[[#This Row],[زمن الحل(يوم)]]&lt;=3, IF(data_entry[[#This Row],[زمن الحل(يوم)]]&gt;0, "نعم", "لا"), "لا"))</f>
        <v/>
      </c>
      <c r="K3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8" s="11" t="str">
        <f>IF(data_entry[[#This Row],[تاريخ الشكوي
mm/dd/yyyy]]="","",TEXT(data_entry[[#This Row],[تاريخ الشكوي
mm/dd/yyyy]],"mmm-yyyy"))</f>
        <v/>
      </c>
      <c r="M38" s="5" t="str">
        <f>IF(data_entry[[#This Row],[تاريخ الحل
mm/dd/yyyy]]="","",TEXT(data_entry[[#This Row],[تاريخ الحل
mm/dd/yyyy]],"mmm-yyyy"))</f>
        <v/>
      </c>
      <c r="N38" s="21" t="str">
        <f>IF(data_entry[[#This Row],[تاريخ التغذية الراجعة
mm/dd/yyyy]]="","",TEXT(data_entry[[#This Row],[تاريخ التغذية الراجعة
mm/dd/yyyy]],"mmm-yy"))</f>
        <v/>
      </c>
    </row>
    <row r="39" spans="1:14" ht="20" customHeight="1" x14ac:dyDescent="0.35">
      <c r="A39" s="3">
        <v>37</v>
      </c>
      <c r="E39" s="3" t="str">
        <f>IF(data_entry[[#This Row],[تاريخ الشكوي
mm/dd/yyyy]]="","",IF(data_entry[[#This Row],[تاريخ الحل
mm/dd/yyyy]]="","جاري الحل","تم الحل"))</f>
        <v/>
      </c>
      <c r="I39" s="3" t="str">
        <f t="shared" si="0"/>
        <v/>
      </c>
      <c r="J39" s="3" t="str">
        <f>IF(data_entry[[#This Row],[زمن الحل(يوم)]]="", "", IF(data_entry[[#This Row],[زمن الحل(يوم)]]&lt;=3, IF(data_entry[[#This Row],[زمن الحل(يوم)]]&gt;0, "نعم", "لا"), "لا"))</f>
        <v/>
      </c>
      <c r="K3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9" s="11" t="str">
        <f>IF(data_entry[[#This Row],[تاريخ الشكوي
mm/dd/yyyy]]="","",TEXT(data_entry[[#This Row],[تاريخ الشكوي
mm/dd/yyyy]],"mmm-yyyy"))</f>
        <v/>
      </c>
      <c r="M39" s="5" t="str">
        <f>IF(data_entry[[#This Row],[تاريخ الحل
mm/dd/yyyy]]="","",TEXT(data_entry[[#This Row],[تاريخ الحل
mm/dd/yyyy]],"mmm-yyyy"))</f>
        <v/>
      </c>
      <c r="N39" s="21" t="str">
        <f>IF(data_entry[[#This Row],[تاريخ التغذية الراجعة
mm/dd/yyyy]]="","",TEXT(data_entry[[#This Row],[تاريخ التغذية الراجعة
mm/dd/yyyy]],"mmm-yy"))</f>
        <v/>
      </c>
    </row>
    <row r="40" spans="1:14" ht="20" customHeight="1" x14ac:dyDescent="0.35">
      <c r="A40" s="3">
        <v>38</v>
      </c>
      <c r="E40" s="3" t="str">
        <f>IF(data_entry[[#This Row],[تاريخ الشكوي
mm/dd/yyyy]]="","",IF(data_entry[[#This Row],[تاريخ الحل
mm/dd/yyyy]]="","جاري الحل","تم الحل"))</f>
        <v/>
      </c>
      <c r="I40" s="3" t="str">
        <f t="shared" si="0"/>
        <v/>
      </c>
      <c r="J40" s="3" t="str">
        <f>IF(data_entry[[#This Row],[زمن الحل(يوم)]]="", "", IF(data_entry[[#This Row],[زمن الحل(يوم)]]&lt;=3, IF(data_entry[[#This Row],[زمن الحل(يوم)]]&gt;0, "نعم", "لا"), "لا"))</f>
        <v/>
      </c>
      <c r="K4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0" s="11" t="str">
        <f>IF(data_entry[[#This Row],[تاريخ الشكوي
mm/dd/yyyy]]="","",TEXT(data_entry[[#This Row],[تاريخ الشكوي
mm/dd/yyyy]],"mmm-yyyy"))</f>
        <v/>
      </c>
      <c r="M40" s="5" t="str">
        <f>IF(data_entry[[#This Row],[تاريخ الحل
mm/dd/yyyy]]="","",TEXT(data_entry[[#This Row],[تاريخ الحل
mm/dd/yyyy]],"mmm-yyyy"))</f>
        <v/>
      </c>
      <c r="N40" s="21" t="str">
        <f>IF(data_entry[[#This Row],[تاريخ التغذية الراجعة
mm/dd/yyyy]]="","",TEXT(data_entry[[#This Row],[تاريخ التغذية الراجعة
mm/dd/yyyy]],"mmm-yy"))</f>
        <v/>
      </c>
    </row>
    <row r="41" spans="1:14" ht="20" customHeight="1" x14ac:dyDescent="0.35">
      <c r="A41" s="3">
        <v>39</v>
      </c>
      <c r="E41" s="3" t="str">
        <f>IF(data_entry[[#This Row],[تاريخ الشكوي
mm/dd/yyyy]]="","",IF(data_entry[[#This Row],[تاريخ الحل
mm/dd/yyyy]]="","جاري الحل","تم الحل"))</f>
        <v/>
      </c>
      <c r="I41" s="3" t="str">
        <f t="shared" si="0"/>
        <v/>
      </c>
      <c r="J41" s="3" t="str">
        <f>IF(data_entry[[#This Row],[زمن الحل(يوم)]]="", "", IF(data_entry[[#This Row],[زمن الحل(يوم)]]&lt;=3, IF(data_entry[[#This Row],[زمن الحل(يوم)]]&gt;0, "نعم", "لا"), "لا"))</f>
        <v/>
      </c>
      <c r="K4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1" s="11" t="str">
        <f>IF(data_entry[[#This Row],[تاريخ الشكوي
mm/dd/yyyy]]="","",TEXT(data_entry[[#This Row],[تاريخ الشكوي
mm/dd/yyyy]],"mmm-yyyy"))</f>
        <v/>
      </c>
      <c r="M41" s="5" t="str">
        <f>IF(data_entry[[#This Row],[تاريخ الحل
mm/dd/yyyy]]="","",TEXT(data_entry[[#This Row],[تاريخ الحل
mm/dd/yyyy]],"mmm-yyyy"))</f>
        <v/>
      </c>
      <c r="N41" s="21" t="str">
        <f>IF(data_entry[[#This Row],[تاريخ التغذية الراجعة
mm/dd/yyyy]]="","",TEXT(data_entry[[#This Row],[تاريخ التغذية الراجعة
mm/dd/yyyy]],"mmm-yy"))</f>
        <v/>
      </c>
    </row>
    <row r="42" spans="1:14" ht="20" customHeight="1" x14ac:dyDescent="0.35">
      <c r="A42" s="3">
        <v>40</v>
      </c>
      <c r="E42" s="3" t="str">
        <f>IF(data_entry[[#This Row],[تاريخ الشكوي
mm/dd/yyyy]]="","",IF(data_entry[[#This Row],[تاريخ الحل
mm/dd/yyyy]]="","جاري الحل","تم الحل"))</f>
        <v/>
      </c>
      <c r="I42" s="3" t="str">
        <f t="shared" si="0"/>
        <v/>
      </c>
      <c r="J42" s="3" t="str">
        <f>IF(data_entry[[#This Row],[زمن الحل(يوم)]]="", "", IF(data_entry[[#This Row],[زمن الحل(يوم)]]&lt;=3, IF(data_entry[[#This Row],[زمن الحل(يوم)]]&gt;0, "نعم", "لا"), "لا"))</f>
        <v/>
      </c>
      <c r="K4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2" s="11" t="str">
        <f>IF(data_entry[[#This Row],[تاريخ الشكوي
mm/dd/yyyy]]="","",TEXT(data_entry[[#This Row],[تاريخ الشكوي
mm/dd/yyyy]],"mmm-yyyy"))</f>
        <v/>
      </c>
      <c r="M42" s="5" t="str">
        <f>IF(data_entry[[#This Row],[تاريخ الحل
mm/dd/yyyy]]="","",TEXT(data_entry[[#This Row],[تاريخ الحل
mm/dd/yyyy]],"mmm-yyyy"))</f>
        <v/>
      </c>
      <c r="N42" s="21" t="str">
        <f>IF(data_entry[[#This Row],[تاريخ التغذية الراجعة
mm/dd/yyyy]]="","",TEXT(data_entry[[#This Row],[تاريخ التغذية الراجعة
mm/dd/yyyy]],"mmm-yy"))</f>
        <v/>
      </c>
    </row>
    <row r="43" spans="1:14" ht="20" customHeight="1" x14ac:dyDescent="0.35">
      <c r="A43" s="3">
        <v>41</v>
      </c>
      <c r="E43" s="3" t="str">
        <f>IF(data_entry[[#This Row],[تاريخ الشكوي
mm/dd/yyyy]]="","",IF(data_entry[[#This Row],[تاريخ الحل
mm/dd/yyyy]]="","جاري الحل","تم الحل"))</f>
        <v/>
      </c>
      <c r="I43" s="3" t="str">
        <f t="shared" si="0"/>
        <v/>
      </c>
      <c r="J43" s="3" t="str">
        <f>IF(data_entry[[#This Row],[زمن الحل(يوم)]]="", "", IF(data_entry[[#This Row],[زمن الحل(يوم)]]&lt;=3, IF(data_entry[[#This Row],[زمن الحل(يوم)]]&gt;0, "نعم", "لا"), "لا"))</f>
        <v/>
      </c>
      <c r="K4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3" s="11" t="str">
        <f>IF(data_entry[[#This Row],[تاريخ الشكوي
mm/dd/yyyy]]="","",TEXT(data_entry[[#This Row],[تاريخ الشكوي
mm/dd/yyyy]],"mmm-yyyy"))</f>
        <v/>
      </c>
      <c r="M43" s="5" t="str">
        <f>IF(data_entry[[#This Row],[تاريخ الحل
mm/dd/yyyy]]="","",TEXT(data_entry[[#This Row],[تاريخ الحل
mm/dd/yyyy]],"mmm-yyyy"))</f>
        <v/>
      </c>
      <c r="N43" s="21" t="str">
        <f>IF(data_entry[[#This Row],[تاريخ التغذية الراجعة
mm/dd/yyyy]]="","",TEXT(data_entry[[#This Row],[تاريخ التغذية الراجعة
mm/dd/yyyy]],"mmm-yy"))</f>
        <v/>
      </c>
    </row>
    <row r="44" spans="1:14" ht="20" customHeight="1" x14ac:dyDescent="0.35">
      <c r="A44" s="3">
        <v>42</v>
      </c>
      <c r="E44" s="3" t="str">
        <f>IF(data_entry[[#This Row],[تاريخ الشكوي
mm/dd/yyyy]]="","",IF(data_entry[[#This Row],[تاريخ الحل
mm/dd/yyyy]]="","جاري الحل","تم الحل"))</f>
        <v/>
      </c>
      <c r="I44" s="3" t="str">
        <f t="shared" si="0"/>
        <v/>
      </c>
      <c r="J44" s="3" t="str">
        <f>IF(data_entry[[#This Row],[زمن الحل(يوم)]]="", "", IF(data_entry[[#This Row],[زمن الحل(يوم)]]&lt;=3, IF(data_entry[[#This Row],[زمن الحل(يوم)]]&gt;0, "نعم", "لا"), "لا"))</f>
        <v/>
      </c>
      <c r="K4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4" s="11" t="str">
        <f>IF(data_entry[[#This Row],[تاريخ الشكوي
mm/dd/yyyy]]="","",TEXT(data_entry[[#This Row],[تاريخ الشكوي
mm/dd/yyyy]],"mmm-yyyy"))</f>
        <v/>
      </c>
      <c r="M44" s="5" t="str">
        <f>IF(data_entry[[#This Row],[تاريخ الحل
mm/dd/yyyy]]="","",TEXT(data_entry[[#This Row],[تاريخ الحل
mm/dd/yyyy]],"mmm-yyyy"))</f>
        <v/>
      </c>
      <c r="N44" s="21" t="str">
        <f>IF(data_entry[[#This Row],[تاريخ التغذية الراجعة
mm/dd/yyyy]]="","",TEXT(data_entry[[#This Row],[تاريخ التغذية الراجعة
mm/dd/yyyy]],"mmm-yy"))</f>
        <v/>
      </c>
    </row>
    <row r="45" spans="1:14" ht="20" customHeight="1" x14ac:dyDescent="0.35">
      <c r="A45" s="3">
        <v>43</v>
      </c>
      <c r="E45" s="3" t="str">
        <f>IF(data_entry[[#This Row],[تاريخ الشكوي
mm/dd/yyyy]]="","",IF(data_entry[[#This Row],[تاريخ الحل
mm/dd/yyyy]]="","جاري الحل","تم الحل"))</f>
        <v/>
      </c>
      <c r="I45" s="3" t="str">
        <f t="shared" si="0"/>
        <v/>
      </c>
      <c r="J45" s="3" t="str">
        <f>IF(data_entry[[#This Row],[زمن الحل(يوم)]]="", "", IF(data_entry[[#This Row],[زمن الحل(يوم)]]&lt;=3, IF(data_entry[[#This Row],[زمن الحل(يوم)]]&gt;0, "نعم", "لا"), "لا"))</f>
        <v/>
      </c>
      <c r="K4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5" s="11" t="str">
        <f>IF(data_entry[[#This Row],[تاريخ الشكوي
mm/dd/yyyy]]="","",TEXT(data_entry[[#This Row],[تاريخ الشكوي
mm/dd/yyyy]],"mmm-yyyy"))</f>
        <v/>
      </c>
      <c r="M45" s="5" t="str">
        <f>IF(data_entry[[#This Row],[تاريخ الحل
mm/dd/yyyy]]="","",TEXT(data_entry[[#This Row],[تاريخ الحل
mm/dd/yyyy]],"mmm-yyyy"))</f>
        <v/>
      </c>
      <c r="N45" s="21" t="str">
        <f>IF(data_entry[[#This Row],[تاريخ التغذية الراجعة
mm/dd/yyyy]]="","",TEXT(data_entry[[#This Row],[تاريخ التغذية الراجعة
mm/dd/yyyy]],"mmm-yy"))</f>
        <v/>
      </c>
    </row>
    <row r="46" spans="1:14" ht="20" customHeight="1" x14ac:dyDescent="0.35">
      <c r="A46" s="3">
        <v>44</v>
      </c>
      <c r="E46" s="3" t="str">
        <f>IF(data_entry[[#This Row],[تاريخ الشكوي
mm/dd/yyyy]]="","",IF(data_entry[[#This Row],[تاريخ الحل
mm/dd/yyyy]]="","جاري الحل","تم الحل"))</f>
        <v/>
      </c>
      <c r="I46" s="3" t="str">
        <f t="shared" si="0"/>
        <v/>
      </c>
      <c r="J46" s="3" t="str">
        <f>IF(data_entry[[#This Row],[زمن الحل(يوم)]]="", "", IF(data_entry[[#This Row],[زمن الحل(يوم)]]&lt;=3, IF(data_entry[[#This Row],[زمن الحل(يوم)]]&gt;0, "نعم", "لا"), "لا"))</f>
        <v/>
      </c>
      <c r="K4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6" s="11" t="str">
        <f>IF(data_entry[[#This Row],[تاريخ الشكوي
mm/dd/yyyy]]="","",TEXT(data_entry[[#This Row],[تاريخ الشكوي
mm/dd/yyyy]],"mmm-yyyy"))</f>
        <v/>
      </c>
      <c r="M46" s="5" t="str">
        <f>IF(data_entry[[#This Row],[تاريخ الحل
mm/dd/yyyy]]="","",TEXT(data_entry[[#This Row],[تاريخ الحل
mm/dd/yyyy]],"mmm-yyyy"))</f>
        <v/>
      </c>
      <c r="N46" s="21" t="str">
        <f>IF(data_entry[[#This Row],[تاريخ التغذية الراجعة
mm/dd/yyyy]]="","",TEXT(data_entry[[#This Row],[تاريخ التغذية الراجعة
mm/dd/yyyy]],"mmm-yy"))</f>
        <v/>
      </c>
    </row>
    <row r="47" spans="1:14" ht="20" customHeight="1" x14ac:dyDescent="0.35">
      <c r="A47" s="3">
        <v>45</v>
      </c>
      <c r="E47" s="3" t="str">
        <f>IF(data_entry[[#This Row],[تاريخ الشكوي
mm/dd/yyyy]]="","",IF(data_entry[[#This Row],[تاريخ الحل
mm/dd/yyyy]]="","جاري الحل","تم الحل"))</f>
        <v/>
      </c>
      <c r="I47" s="3" t="str">
        <f t="shared" si="0"/>
        <v/>
      </c>
      <c r="J47" s="3" t="str">
        <f>IF(data_entry[[#This Row],[زمن الحل(يوم)]]="", "", IF(data_entry[[#This Row],[زمن الحل(يوم)]]&lt;=3, IF(data_entry[[#This Row],[زمن الحل(يوم)]]&gt;0, "نعم", "لا"), "لا"))</f>
        <v/>
      </c>
      <c r="K4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7" s="11" t="str">
        <f>IF(data_entry[[#This Row],[تاريخ الشكوي
mm/dd/yyyy]]="","",TEXT(data_entry[[#This Row],[تاريخ الشكوي
mm/dd/yyyy]],"mmm-yyyy"))</f>
        <v/>
      </c>
      <c r="M47" s="5" t="str">
        <f>IF(data_entry[[#This Row],[تاريخ الحل
mm/dd/yyyy]]="","",TEXT(data_entry[[#This Row],[تاريخ الحل
mm/dd/yyyy]],"mmm-yyyy"))</f>
        <v/>
      </c>
      <c r="N47" s="21" t="str">
        <f>IF(data_entry[[#This Row],[تاريخ التغذية الراجعة
mm/dd/yyyy]]="","",TEXT(data_entry[[#This Row],[تاريخ التغذية الراجعة
mm/dd/yyyy]],"mmm-yy"))</f>
        <v/>
      </c>
    </row>
    <row r="48" spans="1:14" ht="20" customHeight="1" x14ac:dyDescent="0.35">
      <c r="A48" s="3">
        <v>46</v>
      </c>
      <c r="E48" s="3" t="str">
        <f>IF(data_entry[[#This Row],[تاريخ الشكوي
mm/dd/yyyy]]="","",IF(data_entry[[#This Row],[تاريخ الحل
mm/dd/yyyy]]="","جاري الحل","تم الحل"))</f>
        <v/>
      </c>
      <c r="I48" s="3" t="str">
        <f t="shared" si="0"/>
        <v/>
      </c>
      <c r="J48" s="3" t="str">
        <f>IF(data_entry[[#This Row],[زمن الحل(يوم)]]="", "", IF(data_entry[[#This Row],[زمن الحل(يوم)]]&lt;=3, IF(data_entry[[#This Row],[زمن الحل(يوم)]]&gt;0, "نعم", "لا"), "لا"))</f>
        <v/>
      </c>
      <c r="K4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8" s="11" t="str">
        <f>IF(data_entry[[#This Row],[تاريخ الشكوي
mm/dd/yyyy]]="","",TEXT(data_entry[[#This Row],[تاريخ الشكوي
mm/dd/yyyy]],"mmm-yyyy"))</f>
        <v/>
      </c>
      <c r="M48" s="5" t="str">
        <f>IF(data_entry[[#This Row],[تاريخ الحل
mm/dd/yyyy]]="","",TEXT(data_entry[[#This Row],[تاريخ الحل
mm/dd/yyyy]],"mmm-yyyy"))</f>
        <v/>
      </c>
      <c r="N48" s="21" t="str">
        <f>IF(data_entry[[#This Row],[تاريخ التغذية الراجعة
mm/dd/yyyy]]="","",TEXT(data_entry[[#This Row],[تاريخ التغذية الراجعة
mm/dd/yyyy]],"mmm-yy"))</f>
        <v/>
      </c>
    </row>
    <row r="49" spans="1:14" ht="20" customHeight="1" x14ac:dyDescent="0.35">
      <c r="A49" s="3">
        <v>47</v>
      </c>
      <c r="E49" s="3" t="str">
        <f>IF(data_entry[[#This Row],[تاريخ الشكوي
mm/dd/yyyy]]="","",IF(data_entry[[#This Row],[تاريخ الحل
mm/dd/yyyy]]="","جاري الحل","تم الحل"))</f>
        <v/>
      </c>
      <c r="I49" s="3" t="str">
        <f t="shared" si="0"/>
        <v/>
      </c>
      <c r="J49" s="3" t="str">
        <f>IF(data_entry[[#This Row],[زمن الحل(يوم)]]="", "", IF(data_entry[[#This Row],[زمن الحل(يوم)]]&lt;=3, IF(data_entry[[#This Row],[زمن الحل(يوم)]]&gt;0, "نعم", "لا"), "لا"))</f>
        <v/>
      </c>
      <c r="K4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49" s="11" t="str">
        <f>IF(data_entry[[#This Row],[تاريخ الشكوي
mm/dd/yyyy]]="","",TEXT(data_entry[[#This Row],[تاريخ الشكوي
mm/dd/yyyy]],"mmm-yyyy"))</f>
        <v/>
      </c>
      <c r="M49" s="5" t="str">
        <f>IF(data_entry[[#This Row],[تاريخ الحل
mm/dd/yyyy]]="","",TEXT(data_entry[[#This Row],[تاريخ الحل
mm/dd/yyyy]],"mmm-yyyy"))</f>
        <v/>
      </c>
      <c r="N49" s="21" t="str">
        <f>IF(data_entry[[#This Row],[تاريخ التغذية الراجعة
mm/dd/yyyy]]="","",TEXT(data_entry[[#This Row],[تاريخ التغذية الراجعة
mm/dd/yyyy]],"mmm-yy"))</f>
        <v/>
      </c>
    </row>
    <row r="50" spans="1:14" ht="20" customHeight="1" x14ac:dyDescent="0.35">
      <c r="A50" s="3">
        <v>48</v>
      </c>
      <c r="E50" s="3" t="str">
        <f>IF(data_entry[[#This Row],[تاريخ الشكوي
mm/dd/yyyy]]="","",IF(data_entry[[#This Row],[تاريخ الحل
mm/dd/yyyy]]="","جاري الحل","تم الحل"))</f>
        <v/>
      </c>
      <c r="I50" s="3" t="str">
        <f t="shared" si="0"/>
        <v/>
      </c>
      <c r="J50" s="3" t="str">
        <f>IF(data_entry[[#This Row],[زمن الحل(يوم)]]="", "", IF(data_entry[[#This Row],[زمن الحل(يوم)]]&lt;=3, IF(data_entry[[#This Row],[زمن الحل(يوم)]]&gt;0, "نعم", "لا"), "لا"))</f>
        <v/>
      </c>
      <c r="K5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0" s="11" t="str">
        <f>IF(data_entry[[#This Row],[تاريخ الشكوي
mm/dd/yyyy]]="","",TEXT(data_entry[[#This Row],[تاريخ الشكوي
mm/dd/yyyy]],"mmm-yyyy"))</f>
        <v/>
      </c>
      <c r="M50" s="5" t="str">
        <f>IF(data_entry[[#This Row],[تاريخ الحل
mm/dd/yyyy]]="","",TEXT(data_entry[[#This Row],[تاريخ الحل
mm/dd/yyyy]],"mmm-yyyy"))</f>
        <v/>
      </c>
      <c r="N50" s="21" t="str">
        <f>IF(data_entry[[#This Row],[تاريخ التغذية الراجعة
mm/dd/yyyy]]="","",TEXT(data_entry[[#This Row],[تاريخ التغذية الراجعة
mm/dd/yyyy]],"mmm-yy"))</f>
        <v/>
      </c>
    </row>
    <row r="51" spans="1:14" ht="20" customHeight="1" x14ac:dyDescent="0.35">
      <c r="A51" s="3">
        <v>49</v>
      </c>
      <c r="E51" s="3" t="str">
        <f>IF(data_entry[[#This Row],[تاريخ الشكوي
mm/dd/yyyy]]="","",IF(data_entry[[#This Row],[تاريخ الحل
mm/dd/yyyy]]="","جاري الحل","تم الحل"))</f>
        <v/>
      </c>
      <c r="I51" s="3" t="str">
        <f t="shared" si="0"/>
        <v/>
      </c>
      <c r="J51" s="3" t="str">
        <f>IF(data_entry[[#This Row],[زمن الحل(يوم)]]="", "", IF(data_entry[[#This Row],[زمن الحل(يوم)]]&lt;=3, IF(data_entry[[#This Row],[زمن الحل(يوم)]]&gt;0, "نعم", "لا"), "لا"))</f>
        <v/>
      </c>
      <c r="K5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1" s="11" t="str">
        <f>IF(data_entry[[#This Row],[تاريخ الشكوي
mm/dd/yyyy]]="","",TEXT(data_entry[[#This Row],[تاريخ الشكوي
mm/dd/yyyy]],"mmm-yyyy"))</f>
        <v/>
      </c>
      <c r="M51" s="5" t="str">
        <f>IF(data_entry[[#This Row],[تاريخ الحل
mm/dd/yyyy]]="","",TEXT(data_entry[[#This Row],[تاريخ الحل
mm/dd/yyyy]],"mmm-yyyy"))</f>
        <v/>
      </c>
      <c r="N51" s="21" t="str">
        <f>IF(data_entry[[#This Row],[تاريخ التغذية الراجعة
mm/dd/yyyy]]="","",TEXT(data_entry[[#This Row],[تاريخ التغذية الراجعة
mm/dd/yyyy]],"mmm-yy"))</f>
        <v/>
      </c>
    </row>
    <row r="52" spans="1:14" ht="20" customHeight="1" x14ac:dyDescent="0.35">
      <c r="A52" s="3">
        <v>50</v>
      </c>
      <c r="E52" s="3" t="str">
        <f>IF(data_entry[[#This Row],[تاريخ الشكوي
mm/dd/yyyy]]="","",IF(data_entry[[#This Row],[تاريخ الحل
mm/dd/yyyy]]="","جاري الحل","تم الحل"))</f>
        <v/>
      </c>
      <c r="I52" s="3" t="str">
        <f t="shared" si="0"/>
        <v/>
      </c>
      <c r="J52" s="3" t="str">
        <f>IF(data_entry[[#This Row],[زمن الحل(يوم)]]="", "", IF(data_entry[[#This Row],[زمن الحل(يوم)]]&lt;=3, IF(data_entry[[#This Row],[زمن الحل(يوم)]]&gt;0, "نعم", "لا"), "لا"))</f>
        <v/>
      </c>
      <c r="K5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2" s="11" t="str">
        <f>IF(data_entry[[#This Row],[تاريخ الشكوي
mm/dd/yyyy]]="","",TEXT(data_entry[[#This Row],[تاريخ الشكوي
mm/dd/yyyy]],"mmm-yyyy"))</f>
        <v/>
      </c>
      <c r="M52" s="5" t="str">
        <f>IF(data_entry[[#This Row],[تاريخ الحل
mm/dd/yyyy]]="","",TEXT(data_entry[[#This Row],[تاريخ الحل
mm/dd/yyyy]],"mmm-yyyy"))</f>
        <v/>
      </c>
      <c r="N52" s="21" t="str">
        <f>IF(data_entry[[#This Row],[تاريخ التغذية الراجعة
mm/dd/yyyy]]="","",TEXT(data_entry[[#This Row],[تاريخ التغذية الراجعة
mm/dd/yyyy]],"mmm-yy"))</f>
        <v/>
      </c>
    </row>
    <row r="53" spans="1:14" ht="20" customHeight="1" x14ac:dyDescent="0.35">
      <c r="A53" s="3">
        <v>51</v>
      </c>
      <c r="E53" s="3" t="str">
        <f>IF(data_entry[[#This Row],[تاريخ الشكوي
mm/dd/yyyy]]="","",IF(data_entry[[#This Row],[تاريخ الحل
mm/dd/yyyy]]="","جاري الحل","تم الحل"))</f>
        <v/>
      </c>
      <c r="I53" s="3" t="str">
        <f t="shared" si="0"/>
        <v/>
      </c>
      <c r="J53" s="3" t="str">
        <f>IF(data_entry[[#This Row],[زمن الحل(يوم)]]="", "", IF(data_entry[[#This Row],[زمن الحل(يوم)]]&lt;=3, IF(data_entry[[#This Row],[زمن الحل(يوم)]]&gt;0, "نعم", "لا"), "لا"))</f>
        <v/>
      </c>
      <c r="K5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3" s="11" t="str">
        <f>IF(data_entry[[#This Row],[تاريخ الشكوي
mm/dd/yyyy]]="","",TEXT(data_entry[[#This Row],[تاريخ الشكوي
mm/dd/yyyy]],"mmm-yyyy"))</f>
        <v/>
      </c>
      <c r="M53" s="5" t="str">
        <f>IF(data_entry[[#This Row],[تاريخ الحل
mm/dd/yyyy]]="","",TEXT(data_entry[[#This Row],[تاريخ الحل
mm/dd/yyyy]],"mmm-yyyy"))</f>
        <v/>
      </c>
      <c r="N53" s="21" t="str">
        <f>IF(data_entry[[#This Row],[تاريخ التغذية الراجعة
mm/dd/yyyy]]="","",TEXT(data_entry[[#This Row],[تاريخ التغذية الراجعة
mm/dd/yyyy]],"mmm-yy"))</f>
        <v/>
      </c>
    </row>
    <row r="54" spans="1:14" ht="20" customHeight="1" x14ac:dyDescent="0.35">
      <c r="A54" s="3">
        <v>52</v>
      </c>
      <c r="E54" s="3" t="str">
        <f>IF(data_entry[[#This Row],[تاريخ الشكوي
mm/dd/yyyy]]="","",IF(data_entry[[#This Row],[تاريخ الحل
mm/dd/yyyy]]="","جاري الحل","تم الحل"))</f>
        <v/>
      </c>
      <c r="I54" s="3" t="str">
        <f t="shared" si="0"/>
        <v/>
      </c>
      <c r="J54" s="3" t="str">
        <f>IF(data_entry[[#This Row],[زمن الحل(يوم)]]="", "", IF(data_entry[[#This Row],[زمن الحل(يوم)]]&lt;=3, IF(data_entry[[#This Row],[زمن الحل(يوم)]]&gt;0, "نعم", "لا"), "لا"))</f>
        <v/>
      </c>
      <c r="K5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4" s="11" t="str">
        <f>IF(data_entry[[#This Row],[تاريخ الشكوي
mm/dd/yyyy]]="","",TEXT(data_entry[[#This Row],[تاريخ الشكوي
mm/dd/yyyy]],"mmm-yyyy"))</f>
        <v/>
      </c>
      <c r="M54" s="5" t="str">
        <f>IF(data_entry[[#This Row],[تاريخ الحل
mm/dd/yyyy]]="","",TEXT(data_entry[[#This Row],[تاريخ الحل
mm/dd/yyyy]],"mmm-yyyy"))</f>
        <v/>
      </c>
      <c r="N54" s="21" t="str">
        <f>IF(data_entry[[#This Row],[تاريخ التغذية الراجعة
mm/dd/yyyy]]="","",TEXT(data_entry[[#This Row],[تاريخ التغذية الراجعة
mm/dd/yyyy]],"mmm-yy"))</f>
        <v/>
      </c>
    </row>
    <row r="55" spans="1:14" ht="20" customHeight="1" x14ac:dyDescent="0.35">
      <c r="A55" s="3">
        <v>53</v>
      </c>
      <c r="E55" s="3" t="str">
        <f>IF(data_entry[[#This Row],[تاريخ الشكوي
mm/dd/yyyy]]="","",IF(data_entry[[#This Row],[تاريخ الحل
mm/dd/yyyy]]="","جاري الحل","تم الحل"))</f>
        <v/>
      </c>
      <c r="I55" s="3" t="str">
        <f t="shared" si="0"/>
        <v/>
      </c>
      <c r="J55" s="3" t="str">
        <f>IF(data_entry[[#This Row],[زمن الحل(يوم)]]="", "", IF(data_entry[[#This Row],[زمن الحل(يوم)]]&lt;=3, IF(data_entry[[#This Row],[زمن الحل(يوم)]]&gt;0, "نعم", "لا"), "لا"))</f>
        <v/>
      </c>
      <c r="K5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5" s="11" t="str">
        <f>IF(data_entry[[#This Row],[تاريخ الشكوي
mm/dd/yyyy]]="","",TEXT(data_entry[[#This Row],[تاريخ الشكوي
mm/dd/yyyy]],"mmm-yyyy"))</f>
        <v/>
      </c>
      <c r="M55" s="5" t="str">
        <f>IF(data_entry[[#This Row],[تاريخ الحل
mm/dd/yyyy]]="","",TEXT(data_entry[[#This Row],[تاريخ الحل
mm/dd/yyyy]],"mmm-yyyy"))</f>
        <v/>
      </c>
      <c r="N55" s="21" t="str">
        <f>IF(data_entry[[#This Row],[تاريخ التغذية الراجعة
mm/dd/yyyy]]="","",TEXT(data_entry[[#This Row],[تاريخ التغذية الراجعة
mm/dd/yyyy]],"mmm-yy"))</f>
        <v/>
      </c>
    </row>
    <row r="56" spans="1:14" ht="20" customHeight="1" x14ac:dyDescent="0.35">
      <c r="A56" s="3">
        <v>54</v>
      </c>
      <c r="E56" s="3" t="str">
        <f>IF(data_entry[[#This Row],[تاريخ الشكوي
mm/dd/yyyy]]="","",IF(data_entry[[#This Row],[تاريخ الحل
mm/dd/yyyy]]="","جاري الحل","تم الحل"))</f>
        <v/>
      </c>
      <c r="I56" s="3" t="str">
        <f t="shared" si="0"/>
        <v/>
      </c>
      <c r="J56" s="3" t="str">
        <f>IF(data_entry[[#This Row],[زمن الحل(يوم)]]="", "", IF(data_entry[[#This Row],[زمن الحل(يوم)]]&lt;=3, IF(data_entry[[#This Row],[زمن الحل(يوم)]]&gt;0, "نعم", "لا"), "لا"))</f>
        <v/>
      </c>
      <c r="K5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6" s="11" t="str">
        <f>IF(data_entry[[#This Row],[تاريخ الشكوي
mm/dd/yyyy]]="","",TEXT(data_entry[[#This Row],[تاريخ الشكوي
mm/dd/yyyy]],"mmm-yyyy"))</f>
        <v/>
      </c>
      <c r="M56" s="5" t="str">
        <f>IF(data_entry[[#This Row],[تاريخ الحل
mm/dd/yyyy]]="","",TEXT(data_entry[[#This Row],[تاريخ الحل
mm/dd/yyyy]],"mmm-yyyy"))</f>
        <v/>
      </c>
      <c r="N56" s="21" t="str">
        <f>IF(data_entry[[#This Row],[تاريخ التغذية الراجعة
mm/dd/yyyy]]="","",TEXT(data_entry[[#This Row],[تاريخ التغذية الراجعة
mm/dd/yyyy]],"mmm-yy"))</f>
        <v/>
      </c>
    </row>
    <row r="57" spans="1:14" ht="20" customHeight="1" x14ac:dyDescent="0.35">
      <c r="A57" s="3">
        <v>55</v>
      </c>
      <c r="E57" s="3" t="str">
        <f>IF(data_entry[[#This Row],[تاريخ الشكوي
mm/dd/yyyy]]="","",IF(data_entry[[#This Row],[تاريخ الحل
mm/dd/yyyy]]="","جاري الحل","تم الحل"))</f>
        <v/>
      </c>
      <c r="I57" s="3" t="str">
        <f t="shared" si="0"/>
        <v/>
      </c>
      <c r="J57" s="3" t="str">
        <f>IF(data_entry[[#This Row],[زمن الحل(يوم)]]="", "", IF(data_entry[[#This Row],[زمن الحل(يوم)]]&lt;=3, IF(data_entry[[#This Row],[زمن الحل(يوم)]]&gt;0, "نعم", "لا"), "لا"))</f>
        <v/>
      </c>
      <c r="K5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7" s="11" t="str">
        <f>IF(data_entry[[#This Row],[تاريخ الشكوي
mm/dd/yyyy]]="","",TEXT(data_entry[[#This Row],[تاريخ الشكوي
mm/dd/yyyy]],"mmm-yyyy"))</f>
        <v/>
      </c>
      <c r="M57" s="5" t="str">
        <f>IF(data_entry[[#This Row],[تاريخ الحل
mm/dd/yyyy]]="","",TEXT(data_entry[[#This Row],[تاريخ الحل
mm/dd/yyyy]],"mmm-yyyy"))</f>
        <v/>
      </c>
      <c r="N57" s="21" t="str">
        <f>IF(data_entry[[#This Row],[تاريخ التغذية الراجعة
mm/dd/yyyy]]="","",TEXT(data_entry[[#This Row],[تاريخ التغذية الراجعة
mm/dd/yyyy]],"mmm-yy"))</f>
        <v/>
      </c>
    </row>
    <row r="58" spans="1:14" ht="20" customHeight="1" x14ac:dyDescent="0.35">
      <c r="A58" s="3">
        <v>56</v>
      </c>
      <c r="E58" s="3" t="str">
        <f>IF(data_entry[[#This Row],[تاريخ الشكوي
mm/dd/yyyy]]="","",IF(data_entry[[#This Row],[تاريخ الحل
mm/dd/yyyy]]="","جاري الحل","تم الحل"))</f>
        <v/>
      </c>
      <c r="I58" s="3" t="str">
        <f t="shared" si="0"/>
        <v/>
      </c>
      <c r="J58" s="3" t="str">
        <f>IF(data_entry[[#This Row],[زمن الحل(يوم)]]="", "", IF(data_entry[[#This Row],[زمن الحل(يوم)]]&lt;=3, IF(data_entry[[#This Row],[زمن الحل(يوم)]]&gt;0, "نعم", "لا"), "لا"))</f>
        <v/>
      </c>
      <c r="K5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8" s="11" t="str">
        <f>IF(data_entry[[#This Row],[تاريخ الشكوي
mm/dd/yyyy]]="","",TEXT(data_entry[[#This Row],[تاريخ الشكوي
mm/dd/yyyy]],"mmm-yyyy"))</f>
        <v/>
      </c>
      <c r="M58" s="5" t="str">
        <f>IF(data_entry[[#This Row],[تاريخ الحل
mm/dd/yyyy]]="","",TEXT(data_entry[[#This Row],[تاريخ الحل
mm/dd/yyyy]],"mmm-yyyy"))</f>
        <v/>
      </c>
      <c r="N58" s="21" t="str">
        <f>IF(data_entry[[#This Row],[تاريخ التغذية الراجعة
mm/dd/yyyy]]="","",TEXT(data_entry[[#This Row],[تاريخ التغذية الراجعة
mm/dd/yyyy]],"mmm-yy"))</f>
        <v/>
      </c>
    </row>
    <row r="59" spans="1:14" ht="20" customHeight="1" x14ac:dyDescent="0.35">
      <c r="A59" s="3">
        <v>57</v>
      </c>
      <c r="E59" s="3" t="str">
        <f>IF(data_entry[[#This Row],[تاريخ الشكوي
mm/dd/yyyy]]="","",IF(data_entry[[#This Row],[تاريخ الحل
mm/dd/yyyy]]="","جاري الحل","تم الحل"))</f>
        <v/>
      </c>
      <c r="I59" s="3" t="str">
        <f t="shared" si="0"/>
        <v/>
      </c>
      <c r="J59" s="3" t="str">
        <f>IF(data_entry[[#This Row],[زمن الحل(يوم)]]="", "", IF(data_entry[[#This Row],[زمن الحل(يوم)]]&lt;=3, IF(data_entry[[#This Row],[زمن الحل(يوم)]]&gt;0, "نعم", "لا"), "لا"))</f>
        <v/>
      </c>
      <c r="K5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59" s="11" t="str">
        <f>IF(data_entry[[#This Row],[تاريخ الشكوي
mm/dd/yyyy]]="","",TEXT(data_entry[[#This Row],[تاريخ الشكوي
mm/dd/yyyy]],"mmm-yyyy"))</f>
        <v/>
      </c>
      <c r="M59" s="5" t="str">
        <f>IF(data_entry[[#This Row],[تاريخ الحل
mm/dd/yyyy]]="","",TEXT(data_entry[[#This Row],[تاريخ الحل
mm/dd/yyyy]],"mmm-yyyy"))</f>
        <v/>
      </c>
      <c r="N59" s="21" t="str">
        <f>IF(data_entry[[#This Row],[تاريخ التغذية الراجعة
mm/dd/yyyy]]="","",TEXT(data_entry[[#This Row],[تاريخ التغذية الراجعة
mm/dd/yyyy]],"mmm-yy"))</f>
        <v/>
      </c>
    </row>
    <row r="60" spans="1:14" ht="20" customHeight="1" x14ac:dyDescent="0.35">
      <c r="A60" s="3">
        <v>58</v>
      </c>
      <c r="E60" s="3" t="str">
        <f>IF(data_entry[[#This Row],[تاريخ الشكوي
mm/dd/yyyy]]="","",IF(data_entry[[#This Row],[تاريخ الحل
mm/dd/yyyy]]="","جاري الحل","تم الحل"))</f>
        <v/>
      </c>
      <c r="I60" s="3" t="str">
        <f t="shared" si="0"/>
        <v/>
      </c>
      <c r="J60" s="3" t="str">
        <f>IF(data_entry[[#This Row],[زمن الحل(يوم)]]="", "", IF(data_entry[[#This Row],[زمن الحل(يوم)]]&lt;=3, IF(data_entry[[#This Row],[زمن الحل(يوم)]]&gt;0, "نعم", "لا"), "لا"))</f>
        <v/>
      </c>
      <c r="K6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0" s="11" t="str">
        <f>IF(data_entry[[#This Row],[تاريخ الشكوي
mm/dd/yyyy]]="","",TEXT(data_entry[[#This Row],[تاريخ الشكوي
mm/dd/yyyy]],"mmm-yyyy"))</f>
        <v/>
      </c>
      <c r="M60" s="5" t="str">
        <f>IF(data_entry[[#This Row],[تاريخ الحل
mm/dd/yyyy]]="","",TEXT(data_entry[[#This Row],[تاريخ الحل
mm/dd/yyyy]],"mmm-yyyy"))</f>
        <v/>
      </c>
      <c r="N60" s="21" t="str">
        <f>IF(data_entry[[#This Row],[تاريخ التغذية الراجعة
mm/dd/yyyy]]="","",TEXT(data_entry[[#This Row],[تاريخ التغذية الراجعة
mm/dd/yyyy]],"mmm-yy"))</f>
        <v/>
      </c>
    </row>
    <row r="61" spans="1:14" ht="20" customHeight="1" x14ac:dyDescent="0.35">
      <c r="A61" s="3">
        <v>59</v>
      </c>
      <c r="E61" s="3" t="str">
        <f>IF(data_entry[[#This Row],[تاريخ الشكوي
mm/dd/yyyy]]="","",IF(data_entry[[#This Row],[تاريخ الحل
mm/dd/yyyy]]="","جاري الحل","تم الحل"))</f>
        <v/>
      </c>
      <c r="I61" s="3" t="str">
        <f t="shared" si="0"/>
        <v/>
      </c>
      <c r="J61" s="3" t="str">
        <f>IF(data_entry[[#This Row],[زمن الحل(يوم)]]="", "", IF(data_entry[[#This Row],[زمن الحل(يوم)]]&lt;=3, IF(data_entry[[#This Row],[زمن الحل(يوم)]]&gt;0, "نعم", "لا"), "لا"))</f>
        <v/>
      </c>
      <c r="K6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1" s="11" t="str">
        <f>IF(data_entry[[#This Row],[تاريخ الشكوي
mm/dd/yyyy]]="","",TEXT(data_entry[[#This Row],[تاريخ الشكوي
mm/dd/yyyy]],"mmm-yyyy"))</f>
        <v/>
      </c>
      <c r="M61" s="5" t="str">
        <f>IF(data_entry[[#This Row],[تاريخ الحل
mm/dd/yyyy]]="","",TEXT(data_entry[[#This Row],[تاريخ الحل
mm/dd/yyyy]],"mmm-yyyy"))</f>
        <v/>
      </c>
      <c r="N61" s="21" t="str">
        <f>IF(data_entry[[#This Row],[تاريخ التغذية الراجعة
mm/dd/yyyy]]="","",TEXT(data_entry[[#This Row],[تاريخ التغذية الراجعة
mm/dd/yyyy]],"mmm-yy"))</f>
        <v/>
      </c>
    </row>
    <row r="62" spans="1:14" ht="20" customHeight="1" x14ac:dyDescent="0.35">
      <c r="A62" s="3">
        <v>60</v>
      </c>
      <c r="E62" s="3" t="str">
        <f>IF(data_entry[[#This Row],[تاريخ الشكوي
mm/dd/yyyy]]="","",IF(data_entry[[#This Row],[تاريخ الحل
mm/dd/yyyy]]="","جاري الحل","تم الحل"))</f>
        <v/>
      </c>
      <c r="I62" s="3" t="str">
        <f t="shared" si="0"/>
        <v/>
      </c>
      <c r="J62" s="3" t="str">
        <f>IF(data_entry[[#This Row],[زمن الحل(يوم)]]="", "", IF(data_entry[[#This Row],[زمن الحل(يوم)]]&lt;=3, IF(data_entry[[#This Row],[زمن الحل(يوم)]]&gt;0, "نعم", "لا"), "لا"))</f>
        <v/>
      </c>
      <c r="K6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2" s="11" t="str">
        <f>IF(data_entry[[#This Row],[تاريخ الشكوي
mm/dd/yyyy]]="","",TEXT(data_entry[[#This Row],[تاريخ الشكوي
mm/dd/yyyy]],"mmm-yyyy"))</f>
        <v/>
      </c>
      <c r="M62" s="5" t="str">
        <f>IF(data_entry[[#This Row],[تاريخ الحل
mm/dd/yyyy]]="","",TEXT(data_entry[[#This Row],[تاريخ الحل
mm/dd/yyyy]],"mmm-yyyy"))</f>
        <v/>
      </c>
      <c r="N62" s="21" t="str">
        <f>IF(data_entry[[#This Row],[تاريخ التغذية الراجعة
mm/dd/yyyy]]="","",TEXT(data_entry[[#This Row],[تاريخ التغذية الراجعة
mm/dd/yyyy]],"mmm-yy"))</f>
        <v/>
      </c>
    </row>
    <row r="63" spans="1:14" ht="20" customHeight="1" x14ac:dyDescent="0.35">
      <c r="A63" s="3">
        <v>61</v>
      </c>
      <c r="E63" s="3" t="str">
        <f>IF(data_entry[[#This Row],[تاريخ الشكوي
mm/dd/yyyy]]="","",IF(data_entry[[#This Row],[تاريخ الحل
mm/dd/yyyy]]="","جاري الحل","تم الحل"))</f>
        <v/>
      </c>
      <c r="I63" s="3" t="str">
        <f t="shared" si="0"/>
        <v/>
      </c>
      <c r="J63" s="3" t="str">
        <f>IF(data_entry[[#This Row],[زمن الحل(يوم)]]="", "", IF(data_entry[[#This Row],[زمن الحل(يوم)]]&lt;=3, IF(data_entry[[#This Row],[زمن الحل(يوم)]]&gt;0, "نعم", "لا"), "لا"))</f>
        <v/>
      </c>
      <c r="K6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3" s="11" t="str">
        <f>IF(data_entry[[#This Row],[تاريخ الشكوي
mm/dd/yyyy]]="","",TEXT(data_entry[[#This Row],[تاريخ الشكوي
mm/dd/yyyy]],"mmm-yyyy"))</f>
        <v/>
      </c>
      <c r="M63" s="5" t="str">
        <f>IF(data_entry[[#This Row],[تاريخ الحل
mm/dd/yyyy]]="","",TEXT(data_entry[[#This Row],[تاريخ الحل
mm/dd/yyyy]],"mmm-yyyy"))</f>
        <v/>
      </c>
      <c r="N63" s="21" t="str">
        <f>IF(data_entry[[#This Row],[تاريخ التغذية الراجعة
mm/dd/yyyy]]="","",TEXT(data_entry[[#This Row],[تاريخ التغذية الراجعة
mm/dd/yyyy]],"mmm-yy"))</f>
        <v/>
      </c>
    </row>
    <row r="64" spans="1:14" ht="20" customHeight="1" x14ac:dyDescent="0.35">
      <c r="A64" s="3">
        <v>62</v>
      </c>
      <c r="E64" s="3" t="str">
        <f>IF(data_entry[[#This Row],[تاريخ الشكوي
mm/dd/yyyy]]="","",IF(data_entry[[#This Row],[تاريخ الحل
mm/dd/yyyy]]="","جاري الحل","تم الحل"))</f>
        <v/>
      </c>
      <c r="I64" s="3" t="str">
        <f t="shared" si="0"/>
        <v/>
      </c>
      <c r="J64" s="3" t="str">
        <f>IF(data_entry[[#This Row],[زمن الحل(يوم)]]="", "", IF(data_entry[[#This Row],[زمن الحل(يوم)]]&lt;=3, IF(data_entry[[#This Row],[زمن الحل(يوم)]]&gt;0, "نعم", "لا"), "لا"))</f>
        <v/>
      </c>
      <c r="K6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4" s="11" t="str">
        <f>IF(data_entry[[#This Row],[تاريخ الشكوي
mm/dd/yyyy]]="","",TEXT(data_entry[[#This Row],[تاريخ الشكوي
mm/dd/yyyy]],"mmm-yyyy"))</f>
        <v/>
      </c>
      <c r="M64" s="5" t="str">
        <f>IF(data_entry[[#This Row],[تاريخ الحل
mm/dd/yyyy]]="","",TEXT(data_entry[[#This Row],[تاريخ الحل
mm/dd/yyyy]],"mmm-yyyy"))</f>
        <v/>
      </c>
      <c r="N64" s="21" t="str">
        <f>IF(data_entry[[#This Row],[تاريخ التغذية الراجعة
mm/dd/yyyy]]="","",TEXT(data_entry[[#This Row],[تاريخ التغذية الراجعة
mm/dd/yyyy]],"mmm-yy"))</f>
        <v/>
      </c>
    </row>
    <row r="65" spans="1:14" ht="20" customHeight="1" x14ac:dyDescent="0.35">
      <c r="A65" s="3">
        <v>63</v>
      </c>
      <c r="E65" s="3" t="str">
        <f>IF(data_entry[[#This Row],[تاريخ الشكوي
mm/dd/yyyy]]="","",IF(data_entry[[#This Row],[تاريخ الحل
mm/dd/yyyy]]="","جاري الحل","تم الحل"))</f>
        <v/>
      </c>
      <c r="I65" s="3" t="str">
        <f t="shared" si="0"/>
        <v/>
      </c>
      <c r="J65" s="3" t="str">
        <f>IF(data_entry[[#This Row],[زمن الحل(يوم)]]="", "", IF(data_entry[[#This Row],[زمن الحل(يوم)]]&lt;=3, IF(data_entry[[#This Row],[زمن الحل(يوم)]]&gt;0, "نعم", "لا"), "لا"))</f>
        <v/>
      </c>
      <c r="K6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5" s="11" t="str">
        <f>IF(data_entry[[#This Row],[تاريخ الشكوي
mm/dd/yyyy]]="","",TEXT(data_entry[[#This Row],[تاريخ الشكوي
mm/dd/yyyy]],"mmm-yyyy"))</f>
        <v/>
      </c>
      <c r="M65" s="5" t="str">
        <f>IF(data_entry[[#This Row],[تاريخ الحل
mm/dd/yyyy]]="","",TEXT(data_entry[[#This Row],[تاريخ الحل
mm/dd/yyyy]],"mmm-yyyy"))</f>
        <v/>
      </c>
      <c r="N65" s="21" t="str">
        <f>IF(data_entry[[#This Row],[تاريخ التغذية الراجعة
mm/dd/yyyy]]="","",TEXT(data_entry[[#This Row],[تاريخ التغذية الراجعة
mm/dd/yyyy]],"mmm-yy"))</f>
        <v/>
      </c>
    </row>
    <row r="66" spans="1:14" ht="20" customHeight="1" x14ac:dyDescent="0.35">
      <c r="A66" s="3">
        <v>64</v>
      </c>
      <c r="E66" s="3" t="str">
        <f>IF(data_entry[[#This Row],[تاريخ الشكوي
mm/dd/yyyy]]="","",IF(data_entry[[#This Row],[تاريخ الحل
mm/dd/yyyy]]="","جاري الحل","تم الحل"))</f>
        <v/>
      </c>
      <c r="I66" s="3" t="str">
        <f t="shared" si="0"/>
        <v/>
      </c>
      <c r="J66" s="3" t="str">
        <f>IF(data_entry[[#This Row],[زمن الحل(يوم)]]="", "", IF(data_entry[[#This Row],[زمن الحل(يوم)]]&lt;=3, IF(data_entry[[#This Row],[زمن الحل(يوم)]]&gt;0, "نعم", "لا"), "لا"))</f>
        <v/>
      </c>
      <c r="K6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6" s="11" t="str">
        <f>IF(data_entry[[#This Row],[تاريخ الشكوي
mm/dd/yyyy]]="","",TEXT(data_entry[[#This Row],[تاريخ الشكوي
mm/dd/yyyy]],"mmm-yyyy"))</f>
        <v/>
      </c>
      <c r="M66" s="5" t="str">
        <f>IF(data_entry[[#This Row],[تاريخ الحل
mm/dd/yyyy]]="","",TEXT(data_entry[[#This Row],[تاريخ الحل
mm/dd/yyyy]],"mmm-yyyy"))</f>
        <v/>
      </c>
      <c r="N66" s="21" t="str">
        <f>IF(data_entry[[#This Row],[تاريخ التغذية الراجعة
mm/dd/yyyy]]="","",TEXT(data_entry[[#This Row],[تاريخ التغذية الراجعة
mm/dd/yyyy]],"mmm-yy"))</f>
        <v/>
      </c>
    </row>
    <row r="67" spans="1:14" ht="20" customHeight="1" x14ac:dyDescent="0.35">
      <c r="A67" s="3">
        <v>65</v>
      </c>
      <c r="E67" s="3" t="str">
        <f>IF(data_entry[[#This Row],[تاريخ الشكوي
mm/dd/yyyy]]="","",IF(data_entry[[#This Row],[تاريخ الحل
mm/dd/yyyy]]="","جاري الحل","تم الحل"))</f>
        <v/>
      </c>
      <c r="I67" s="3" t="str">
        <f t="shared" si="0"/>
        <v/>
      </c>
      <c r="J67" s="3" t="str">
        <f>IF(data_entry[[#This Row],[زمن الحل(يوم)]]="", "", IF(data_entry[[#This Row],[زمن الحل(يوم)]]&lt;=3, IF(data_entry[[#This Row],[زمن الحل(يوم)]]&gt;0, "نعم", "لا"), "لا"))</f>
        <v/>
      </c>
      <c r="K6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7" s="11" t="str">
        <f>IF(data_entry[[#This Row],[تاريخ الشكوي
mm/dd/yyyy]]="","",TEXT(data_entry[[#This Row],[تاريخ الشكوي
mm/dd/yyyy]],"mmm-yyyy"))</f>
        <v/>
      </c>
      <c r="M67" s="5" t="str">
        <f>IF(data_entry[[#This Row],[تاريخ الحل
mm/dd/yyyy]]="","",TEXT(data_entry[[#This Row],[تاريخ الحل
mm/dd/yyyy]],"mmm-yyyy"))</f>
        <v/>
      </c>
      <c r="N67" s="21" t="str">
        <f>IF(data_entry[[#This Row],[تاريخ التغذية الراجعة
mm/dd/yyyy]]="","",TEXT(data_entry[[#This Row],[تاريخ التغذية الراجعة
mm/dd/yyyy]],"mmm-yy"))</f>
        <v/>
      </c>
    </row>
    <row r="68" spans="1:14" ht="20" customHeight="1" x14ac:dyDescent="0.35">
      <c r="A68" s="3">
        <v>66</v>
      </c>
      <c r="E68" s="3" t="str">
        <f>IF(data_entry[[#This Row],[تاريخ الشكوي
mm/dd/yyyy]]="","",IF(data_entry[[#This Row],[تاريخ الحل
mm/dd/yyyy]]="","جاري الحل","تم الحل"))</f>
        <v/>
      </c>
      <c r="I68" s="3" t="str">
        <f t="shared" ref="I68:I131" si="1">IF(K68="","",IF(K68=0,"نعم","لا"))</f>
        <v/>
      </c>
      <c r="J68" s="3" t="str">
        <f>IF(data_entry[[#This Row],[زمن الحل(يوم)]]="", "", IF(data_entry[[#This Row],[زمن الحل(يوم)]]&lt;=3, IF(data_entry[[#This Row],[زمن الحل(يوم)]]&gt;0, "نعم", "لا"), "لا"))</f>
        <v/>
      </c>
      <c r="K6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8" s="11" t="str">
        <f>IF(data_entry[[#This Row],[تاريخ الشكوي
mm/dd/yyyy]]="","",TEXT(data_entry[[#This Row],[تاريخ الشكوي
mm/dd/yyyy]],"mmm-yyyy"))</f>
        <v/>
      </c>
      <c r="M68" s="5" t="str">
        <f>IF(data_entry[[#This Row],[تاريخ الحل
mm/dd/yyyy]]="","",TEXT(data_entry[[#This Row],[تاريخ الحل
mm/dd/yyyy]],"mmm-yyyy"))</f>
        <v/>
      </c>
      <c r="N68" s="21" t="str">
        <f>IF(data_entry[[#This Row],[تاريخ التغذية الراجعة
mm/dd/yyyy]]="","",TEXT(data_entry[[#This Row],[تاريخ التغذية الراجعة
mm/dd/yyyy]],"mmm-yy"))</f>
        <v/>
      </c>
    </row>
    <row r="69" spans="1:14" ht="20" customHeight="1" x14ac:dyDescent="0.35">
      <c r="A69" s="3">
        <v>67</v>
      </c>
      <c r="E69" s="3" t="str">
        <f>IF(data_entry[[#This Row],[تاريخ الشكوي
mm/dd/yyyy]]="","",IF(data_entry[[#This Row],[تاريخ الحل
mm/dd/yyyy]]="","جاري الحل","تم الحل"))</f>
        <v/>
      </c>
      <c r="I69" s="3" t="str">
        <f t="shared" si="1"/>
        <v/>
      </c>
      <c r="J69" s="3" t="str">
        <f>IF(data_entry[[#This Row],[زمن الحل(يوم)]]="", "", IF(data_entry[[#This Row],[زمن الحل(يوم)]]&lt;=3, IF(data_entry[[#This Row],[زمن الحل(يوم)]]&gt;0, "نعم", "لا"), "لا"))</f>
        <v/>
      </c>
      <c r="K6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69" s="11" t="str">
        <f>IF(data_entry[[#This Row],[تاريخ الشكوي
mm/dd/yyyy]]="","",TEXT(data_entry[[#This Row],[تاريخ الشكوي
mm/dd/yyyy]],"mmm-yyyy"))</f>
        <v/>
      </c>
      <c r="M69" s="5" t="str">
        <f>IF(data_entry[[#This Row],[تاريخ الحل
mm/dd/yyyy]]="","",TEXT(data_entry[[#This Row],[تاريخ الحل
mm/dd/yyyy]],"mmm-yyyy"))</f>
        <v/>
      </c>
      <c r="N69" s="21" t="str">
        <f>IF(data_entry[[#This Row],[تاريخ التغذية الراجعة
mm/dd/yyyy]]="","",TEXT(data_entry[[#This Row],[تاريخ التغذية الراجعة
mm/dd/yyyy]],"mmm-yy"))</f>
        <v/>
      </c>
    </row>
    <row r="70" spans="1:14" ht="20" customHeight="1" x14ac:dyDescent="0.35">
      <c r="A70" s="3">
        <v>68</v>
      </c>
      <c r="E70" s="3" t="str">
        <f>IF(data_entry[[#This Row],[تاريخ الشكوي
mm/dd/yyyy]]="","",IF(data_entry[[#This Row],[تاريخ الحل
mm/dd/yyyy]]="","جاري الحل","تم الحل"))</f>
        <v/>
      </c>
      <c r="I70" s="3" t="str">
        <f t="shared" si="1"/>
        <v/>
      </c>
      <c r="J70" s="3" t="str">
        <f>IF(data_entry[[#This Row],[زمن الحل(يوم)]]="", "", IF(data_entry[[#This Row],[زمن الحل(يوم)]]&lt;=3, IF(data_entry[[#This Row],[زمن الحل(يوم)]]&gt;0, "نعم", "لا"), "لا"))</f>
        <v/>
      </c>
      <c r="K7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0" s="11" t="str">
        <f>IF(data_entry[[#This Row],[تاريخ الشكوي
mm/dd/yyyy]]="","",TEXT(data_entry[[#This Row],[تاريخ الشكوي
mm/dd/yyyy]],"mmm-yyyy"))</f>
        <v/>
      </c>
      <c r="M70" s="5" t="str">
        <f>IF(data_entry[[#This Row],[تاريخ الحل
mm/dd/yyyy]]="","",TEXT(data_entry[[#This Row],[تاريخ الحل
mm/dd/yyyy]],"mmm-yyyy"))</f>
        <v/>
      </c>
      <c r="N70" s="21" t="str">
        <f>IF(data_entry[[#This Row],[تاريخ التغذية الراجعة
mm/dd/yyyy]]="","",TEXT(data_entry[[#This Row],[تاريخ التغذية الراجعة
mm/dd/yyyy]],"mmm-yy"))</f>
        <v/>
      </c>
    </row>
    <row r="71" spans="1:14" ht="20" customHeight="1" x14ac:dyDescent="0.35">
      <c r="A71" s="3">
        <v>69</v>
      </c>
      <c r="E71" s="3" t="str">
        <f>IF(data_entry[[#This Row],[تاريخ الشكوي
mm/dd/yyyy]]="","",IF(data_entry[[#This Row],[تاريخ الحل
mm/dd/yyyy]]="","جاري الحل","تم الحل"))</f>
        <v/>
      </c>
      <c r="I71" s="3" t="str">
        <f t="shared" si="1"/>
        <v/>
      </c>
      <c r="J71" s="3" t="str">
        <f>IF(data_entry[[#This Row],[زمن الحل(يوم)]]="", "", IF(data_entry[[#This Row],[زمن الحل(يوم)]]&lt;=3, IF(data_entry[[#This Row],[زمن الحل(يوم)]]&gt;0, "نعم", "لا"), "لا"))</f>
        <v/>
      </c>
      <c r="K7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1" s="11" t="str">
        <f>IF(data_entry[[#This Row],[تاريخ الشكوي
mm/dd/yyyy]]="","",TEXT(data_entry[[#This Row],[تاريخ الشكوي
mm/dd/yyyy]],"mmm-yyyy"))</f>
        <v/>
      </c>
      <c r="M71" s="5" t="str">
        <f>IF(data_entry[[#This Row],[تاريخ الحل
mm/dd/yyyy]]="","",TEXT(data_entry[[#This Row],[تاريخ الحل
mm/dd/yyyy]],"mmm-yyyy"))</f>
        <v/>
      </c>
      <c r="N71" s="21" t="str">
        <f>IF(data_entry[[#This Row],[تاريخ التغذية الراجعة
mm/dd/yyyy]]="","",TEXT(data_entry[[#This Row],[تاريخ التغذية الراجعة
mm/dd/yyyy]],"mmm-yy"))</f>
        <v/>
      </c>
    </row>
    <row r="72" spans="1:14" ht="20" customHeight="1" x14ac:dyDescent="0.35">
      <c r="A72" s="3">
        <v>70</v>
      </c>
      <c r="E72" s="3" t="str">
        <f>IF(data_entry[[#This Row],[تاريخ الشكوي
mm/dd/yyyy]]="","",IF(data_entry[[#This Row],[تاريخ الحل
mm/dd/yyyy]]="","جاري الحل","تم الحل"))</f>
        <v/>
      </c>
      <c r="I72" s="3" t="str">
        <f t="shared" si="1"/>
        <v/>
      </c>
      <c r="J72" s="3" t="str">
        <f>IF(data_entry[[#This Row],[زمن الحل(يوم)]]="", "", IF(data_entry[[#This Row],[زمن الحل(يوم)]]&lt;=3, IF(data_entry[[#This Row],[زمن الحل(يوم)]]&gt;0, "نعم", "لا"), "لا"))</f>
        <v/>
      </c>
      <c r="K7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2" s="11" t="str">
        <f>IF(data_entry[[#This Row],[تاريخ الشكوي
mm/dd/yyyy]]="","",TEXT(data_entry[[#This Row],[تاريخ الشكوي
mm/dd/yyyy]],"mmm-yyyy"))</f>
        <v/>
      </c>
      <c r="M72" s="5" t="str">
        <f>IF(data_entry[[#This Row],[تاريخ الحل
mm/dd/yyyy]]="","",TEXT(data_entry[[#This Row],[تاريخ الحل
mm/dd/yyyy]],"mmm-yyyy"))</f>
        <v/>
      </c>
      <c r="N72" s="21" t="str">
        <f>IF(data_entry[[#This Row],[تاريخ التغذية الراجعة
mm/dd/yyyy]]="","",TEXT(data_entry[[#This Row],[تاريخ التغذية الراجعة
mm/dd/yyyy]],"mmm-yy"))</f>
        <v/>
      </c>
    </row>
    <row r="73" spans="1:14" ht="20" customHeight="1" x14ac:dyDescent="0.35">
      <c r="A73" s="3">
        <v>71</v>
      </c>
      <c r="E73" s="3" t="str">
        <f>IF(data_entry[[#This Row],[تاريخ الشكوي
mm/dd/yyyy]]="","",IF(data_entry[[#This Row],[تاريخ الحل
mm/dd/yyyy]]="","جاري الحل","تم الحل"))</f>
        <v/>
      </c>
      <c r="I73" s="3" t="str">
        <f t="shared" si="1"/>
        <v/>
      </c>
      <c r="J73" s="3" t="str">
        <f>IF(data_entry[[#This Row],[زمن الحل(يوم)]]="", "", IF(data_entry[[#This Row],[زمن الحل(يوم)]]&lt;=3, IF(data_entry[[#This Row],[زمن الحل(يوم)]]&gt;0, "نعم", "لا"), "لا"))</f>
        <v/>
      </c>
      <c r="K7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3" s="11" t="str">
        <f>IF(data_entry[[#This Row],[تاريخ الشكوي
mm/dd/yyyy]]="","",TEXT(data_entry[[#This Row],[تاريخ الشكوي
mm/dd/yyyy]],"mmm-yyyy"))</f>
        <v/>
      </c>
      <c r="M73" s="5" t="str">
        <f>IF(data_entry[[#This Row],[تاريخ الحل
mm/dd/yyyy]]="","",TEXT(data_entry[[#This Row],[تاريخ الحل
mm/dd/yyyy]],"mmm-yyyy"))</f>
        <v/>
      </c>
      <c r="N73" s="21" t="str">
        <f>IF(data_entry[[#This Row],[تاريخ التغذية الراجعة
mm/dd/yyyy]]="","",TEXT(data_entry[[#This Row],[تاريخ التغذية الراجعة
mm/dd/yyyy]],"mmm-yy"))</f>
        <v/>
      </c>
    </row>
    <row r="74" spans="1:14" ht="20" customHeight="1" x14ac:dyDescent="0.35">
      <c r="A74" s="3">
        <v>72</v>
      </c>
      <c r="E74" s="3" t="str">
        <f>IF(data_entry[[#This Row],[تاريخ الشكوي
mm/dd/yyyy]]="","",IF(data_entry[[#This Row],[تاريخ الحل
mm/dd/yyyy]]="","جاري الحل","تم الحل"))</f>
        <v/>
      </c>
      <c r="I74" s="3" t="str">
        <f t="shared" si="1"/>
        <v/>
      </c>
      <c r="J74" s="3" t="str">
        <f>IF(data_entry[[#This Row],[زمن الحل(يوم)]]="", "", IF(data_entry[[#This Row],[زمن الحل(يوم)]]&lt;=3, IF(data_entry[[#This Row],[زمن الحل(يوم)]]&gt;0, "نعم", "لا"), "لا"))</f>
        <v/>
      </c>
      <c r="K7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4" s="11" t="str">
        <f>IF(data_entry[[#This Row],[تاريخ الشكوي
mm/dd/yyyy]]="","",TEXT(data_entry[[#This Row],[تاريخ الشكوي
mm/dd/yyyy]],"mmm-yyyy"))</f>
        <v/>
      </c>
      <c r="M74" s="5" t="str">
        <f>IF(data_entry[[#This Row],[تاريخ الحل
mm/dd/yyyy]]="","",TEXT(data_entry[[#This Row],[تاريخ الحل
mm/dd/yyyy]],"mmm-yyyy"))</f>
        <v/>
      </c>
      <c r="N74" s="21" t="str">
        <f>IF(data_entry[[#This Row],[تاريخ التغذية الراجعة
mm/dd/yyyy]]="","",TEXT(data_entry[[#This Row],[تاريخ التغذية الراجعة
mm/dd/yyyy]],"mmm-yy"))</f>
        <v/>
      </c>
    </row>
    <row r="75" spans="1:14" ht="20" customHeight="1" x14ac:dyDescent="0.35">
      <c r="A75" s="3">
        <v>73</v>
      </c>
      <c r="E75" s="3" t="str">
        <f>IF(data_entry[[#This Row],[تاريخ الشكوي
mm/dd/yyyy]]="","",IF(data_entry[[#This Row],[تاريخ الحل
mm/dd/yyyy]]="","جاري الحل","تم الحل"))</f>
        <v/>
      </c>
      <c r="I75" s="3" t="str">
        <f t="shared" si="1"/>
        <v/>
      </c>
      <c r="J75" s="3" t="str">
        <f>IF(data_entry[[#This Row],[زمن الحل(يوم)]]="", "", IF(data_entry[[#This Row],[زمن الحل(يوم)]]&lt;=3, IF(data_entry[[#This Row],[زمن الحل(يوم)]]&gt;0, "نعم", "لا"), "لا"))</f>
        <v/>
      </c>
      <c r="K7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5" s="11" t="str">
        <f>IF(data_entry[[#This Row],[تاريخ الشكوي
mm/dd/yyyy]]="","",TEXT(data_entry[[#This Row],[تاريخ الشكوي
mm/dd/yyyy]],"mmm-yyyy"))</f>
        <v/>
      </c>
      <c r="M75" s="5" t="str">
        <f>IF(data_entry[[#This Row],[تاريخ الحل
mm/dd/yyyy]]="","",TEXT(data_entry[[#This Row],[تاريخ الحل
mm/dd/yyyy]],"mmm-yyyy"))</f>
        <v/>
      </c>
      <c r="N75" s="21" t="str">
        <f>IF(data_entry[[#This Row],[تاريخ التغذية الراجعة
mm/dd/yyyy]]="","",TEXT(data_entry[[#This Row],[تاريخ التغذية الراجعة
mm/dd/yyyy]],"mmm-yy"))</f>
        <v/>
      </c>
    </row>
    <row r="76" spans="1:14" ht="20" customHeight="1" x14ac:dyDescent="0.35">
      <c r="A76" s="3">
        <v>74</v>
      </c>
      <c r="E76" s="3" t="str">
        <f>IF(data_entry[[#This Row],[تاريخ الشكوي
mm/dd/yyyy]]="","",IF(data_entry[[#This Row],[تاريخ الحل
mm/dd/yyyy]]="","جاري الحل","تم الحل"))</f>
        <v/>
      </c>
      <c r="I76" s="3" t="str">
        <f t="shared" si="1"/>
        <v/>
      </c>
      <c r="J76" s="3" t="str">
        <f>IF(data_entry[[#This Row],[زمن الحل(يوم)]]="", "", IF(data_entry[[#This Row],[زمن الحل(يوم)]]&lt;=3, IF(data_entry[[#This Row],[زمن الحل(يوم)]]&gt;0, "نعم", "لا"), "لا"))</f>
        <v/>
      </c>
      <c r="K7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6" s="11" t="str">
        <f>IF(data_entry[[#This Row],[تاريخ الشكوي
mm/dd/yyyy]]="","",TEXT(data_entry[[#This Row],[تاريخ الشكوي
mm/dd/yyyy]],"mmm-yyyy"))</f>
        <v/>
      </c>
      <c r="M76" s="5" t="str">
        <f>IF(data_entry[[#This Row],[تاريخ الحل
mm/dd/yyyy]]="","",TEXT(data_entry[[#This Row],[تاريخ الحل
mm/dd/yyyy]],"mmm-yyyy"))</f>
        <v/>
      </c>
      <c r="N76" s="21" t="str">
        <f>IF(data_entry[[#This Row],[تاريخ التغذية الراجعة
mm/dd/yyyy]]="","",TEXT(data_entry[[#This Row],[تاريخ التغذية الراجعة
mm/dd/yyyy]],"mmm-yy"))</f>
        <v/>
      </c>
    </row>
    <row r="77" spans="1:14" ht="20" customHeight="1" x14ac:dyDescent="0.35">
      <c r="A77" s="3">
        <v>75</v>
      </c>
      <c r="E77" s="3" t="str">
        <f>IF(data_entry[[#This Row],[تاريخ الشكوي
mm/dd/yyyy]]="","",IF(data_entry[[#This Row],[تاريخ الحل
mm/dd/yyyy]]="","جاري الحل","تم الحل"))</f>
        <v/>
      </c>
      <c r="I77" s="3" t="str">
        <f t="shared" si="1"/>
        <v/>
      </c>
      <c r="J77" s="3" t="str">
        <f>IF(data_entry[[#This Row],[زمن الحل(يوم)]]="", "", IF(data_entry[[#This Row],[زمن الحل(يوم)]]&lt;=3, IF(data_entry[[#This Row],[زمن الحل(يوم)]]&gt;0, "نعم", "لا"), "لا"))</f>
        <v/>
      </c>
      <c r="K7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7" s="11" t="str">
        <f>IF(data_entry[[#This Row],[تاريخ الشكوي
mm/dd/yyyy]]="","",TEXT(data_entry[[#This Row],[تاريخ الشكوي
mm/dd/yyyy]],"mmm-yyyy"))</f>
        <v/>
      </c>
      <c r="M77" s="5" t="str">
        <f>IF(data_entry[[#This Row],[تاريخ الحل
mm/dd/yyyy]]="","",TEXT(data_entry[[#This Row],[تاريخ الحل
mm/dd/yyyy]],"mmm-yyyy"))</f>
        <v/>
      </c>
      <c r="N77" s="21" t="str">
        <f>IF(data_entry[[#This Row],[تاريخ التغذية الراجعة
mm/dd/yyyy]]="","",TEXT(data_entry[[#This Row],[تاريخ التغذية الراجعة
mm/dd/yyyy]],"mmm-yy"))</f>
        <v/>
      </c>
    </row>
    <row r="78" spans="1:14" ht="20" customHeight="1" x14ac:dyDescent="0.35">
      <c r="A78" s="3">
        <v>76</v>
      </c>
      <c r="E78" s="3" t="str">
        <f>IF(data_entry[[#This Row],[تاريخ الشكوي
mm/dd/yyyy]]="","",IF(data_entry[[#This Row],[تاريخ الحل
mm/dd/yyyy]]="","جاري الحل","تم الحل"))</f>
        <v/>
      </c>
      <c r="I78" s="3" t="str">
        <f t="shared" si="1"/>
        <v/>
      </c>
      <c r="J78" s="3" t="str">
        <f>IF(data_entry[[#This Row],[زمن الحل(يوم)]]="", "", IF(data_entry[[#This Row],[زمن الحل(يوم)]]&lt;=3, IF(data_entry[[#This Row],[زمن الحل(يوم)]]&gt;0, "نعم", "لا"), "لا"))</f>
        <v/>
      </c>
      <c r="K7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8" s="11" t="str">
        <f>IF(data_entry[[#This Row],[تاريخ الشكوي
mm/dd/yyyy]]="","",TEXT(data_entry[[#This Row],[تاريخ الشكوي
mm/dd/yyyy]],"mmm-yyyy"))</f>
        <v/>
      </c>
      <c r="M78" s="5" t="str">
        <f>IF(data_entry[[#This Row],[تاريخ الحل
mm/dd/yyyy]]="","",TEXT(data_entry[[#This Row],[تاريخ الحل
mm/dd/yyyy]],"mmm-yyyy"))</f>
        <v/>
      </c>
      <c r="N78" s="21" t="str">
        <f>IF(data_entry[[#This Row],[تاريخ التغذية الراجعة
mm/dd/yyyy]]="","",TEXT(data_entry[[#This Row],[تاريخ التغذية الراجعة
mm/dd/yyyy]],"mmm-yy"))</f>
        <v/>
      </c>
    </row>
    <row r="79" spans="1:14" ht="20" customHeight="1" x14ac:dyDescent="0.35">
      <c r="A79" s="3">
        <v>77</v>
      </c>
      <c r="E79" s="3" t="str">
        <f>IF(data_entry[[#This Row],[تاريخ الشكوي
mm/dd/yyyy]]="","",IF(data_entry[[#This Row],[تاريخ الحل
mm/dd/yyyy]]="","جاري الحل","تم الحل"))</f>
        <v/>
      </c>
      <c r="I79" s="3" t="str">
        <f t="shared" si="1"/>
        <v/>
      </c>
      <c r="J79" s="3" t="str">
        <f>IF(data_entry[[#This Row],[زمن الحل(يوم)]]="", "", IF(data_entry[[#This Row],[زمن الحل(يوم)]]&lt;=3, IF(data_entry[[#This Row],[زمن الحل(يوم)]]&gt;0, "نعم", "لا"), "لا"))</f>
        <v/>
      </c>
      <c r="K7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79" s="11" t="str">
        <f>IF(data_entry[[#This Row],[تاريخ الشكوي
mm/dd/yyyy]]="","",TEXT(data_entry[[#This Row],[تاريخ الشكوي
mm/dd/yyyy]],"mmm-yyyy"))</f>
        <v/>
      </c>
      <c r="M79" s="5" t="str">
        <f>IF(data_entry[[#This Row],[تاريخ الحل
mm/dd/yyyy]]="","",TEXT(data_entry[[#This Row],[تاريخ الحل
mm/dd/yyyy]],"mmm-yyyy"))</f>
        <v/>
      </c>
      <c r="N79" s="21" t="str">
        <f>IF(data_entry[[#This Row],[تاريخ التغذية الراجعة
mm/dd/yyyy]]="","",TEXT(data_entry[[#This Row],[تاريخ التغذية الراجعة
mm/dd/yyyy]],"mmm-yy"))</f>
        <v/>
      </c>
    </row>
    <row r="80" spans="1:14" ht="20" customHeight="1" x14ac:dyDescent="0.35">
      <c r="A80" s="3">
        <v>78</v>
      </c>
      <c r="E80" s="3" t="str">
        <f>IF(data_entry[[#This Row],[تاريخ الشكوي
mm/dd/yyyy]]="","",IF(data_entry[[#This Row],[تاريخ الحل
mm/dd/yyyy]]="","جاري الحل","تم الحل"))</f>
        <v/>
      </c>
      <c r="I80" s="3" t="str">
        <f t="shared" si="1"/>
        <v/>
      </c>
      <c r="J80" s="3" t="str">
        <f>IF(data_entry[[#This Row],[زمن الحل(يوم)]]="", "", IF(data_entry[[#This Row],[زمن الحل(يوم)]]&lt;=3, IF(data_entry[[#This Row],[زمن الحل(يوم)]]&gt;0, "نعم", "لا"), "لا"))</f>
        <v/>
      </c>
      <c r="K8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0" s="11" t="str">
        <f>IF(data_entry[[#This Row],[تاريخ الشكوي
mm/dd/yyyy]]="","",TEXT(data_entry[[#This Row],[تاريخ الشكوي
mm/dd/yyyy]],"mmm-yyyy"))</f>
        <v/>
      </c>
      <c r="M80" s="5" t="str">
        <f>IF(data_entry[[#This Row],[تاريخ الحل
mm/dd/yyyy]]="","",TEXT(data_entry[[#This Row],[تاريخ الحل
mm/dd/yyyy]],"mmm-yyyy"))</f>
        <v/>
      </c>
      <c r="N80" s="21" t="str">
        <f>IF(data_entry[[#This Row],[تاريخ التغذية الراجعة
mm/dd/yyyy]]="","",TEXT(data_entry[[#This Row],[تاريخ التغذية الراجعة
mm/dd/yyyy]],"mmm-yy"))</f>
        <v/>
      </c>
    </row>
    <row r="81" spans="1:14" ht="20" customHeight="1" x14ac:dyDescent="0.35">
      <c r="A81" s="3">
        <v>79</v>
      </c>
      <c r="E81" s="3" t="str">
        <f>IF(data_entry[[#This Row],[تاريخ الشكوي
mm/dd/yyyy]]="","",IF(data_entry[[#This Row],[تاريخ الحل
mm/dd/yyyy]]="","جاري الحل","تم الحل"))</f>
        <v/>
      </c>
      <c r="I81" s="3" t="str">
        <f t="shared" si="1"/>
        <v/>
      </c>
      <c r="J81" s="3" t="str">
        <f>IF(data_entry[[#This Row],[زمن الحل(يوم)]]="", "", IF(data_entry[[#This Row],[زمن الحل(يوم)]]&lt;=3, IF(data_entry[[#This Row],[زمن الحل(يوم)]]&gt;0, "نعم", "لا"), "لا"))</f>
        <v/>
      </c>
      <c r="K8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1" s="11" t="str">
        <f>IF(data_entry[[#This Row],[تاريخ الشكوي
mm/dd/yyyy]]="","",TEXT(data_entry[[#This Row],[تاريخ الشكوي
mm/dd/yyyy]],"mmm-yyyy"))</f>
        <v/>
      </c>
      <c r="M81" s="5" t="str">
        <f>IF(data_entry[[#This Row],[تاريخ الحل
mm/dd/yyyy]]="","",TEXT(data_entry[[#This Row],[تاريخ الحل
mm/dd/yyyy]],"mmm-yyyy"))</f>
        <v/>
      </c>
      <c r="N81" s="21" t="str">
        <f>IF(data_entry[[#This Row],[تاريخ التغذية الراجعة
mm/dd/yyyy]]="","",TEXT(data_entry[[#This Row],[تاريخ التغذية الراجعة
mm/dd/yyyy]],"mmm-yy"))</f>
        <v/>
      </c>
    </row>
    <row r="82" spans="1:14" ht="20" customHeight="1" x14ac:dyDescent="0.35">
      <c r="A82" s="3">
        <v>80</v>
      </c>
      <c r="E82" s="3" t="str">
        <f>IF(data_entry[[#This Row],[تاريخ الشكوي
mm/dd/yyyy]]="","",IF(data_entry[[#This Row],[تاريخ الحل
mm/dd/yyyy]]="","جاري الحل","تم الحل"))</f>
        <v/>
      </c>
      <c r="I82" s="3" t="str">
        <f t="shared" si="1"/>
        <v/>
      </c>
      <c r="J82" s="3" t="str">
        <f>IF(data_entry[[#This Row],[زمن الحل(يوم)]]="", "", IF(data_entry[[#This Row],[زمن الحل(يوم)]]&lt;=3, IF(data_entry[[#This Row],[زمن الحل(يوم)]]&gt;0, "نعم", "لا"), "لا"))</f>
        <v/>
      </c>
      <c r="K8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2" s="11" t="str">
        <f>IF(data_entry[[#This Row],[تاريخ الشكوي
mm/dd/yyyy]]="","",TEXT(data_entry[[#This Row],[تاريخ الشكوي
mm/dd/yyyy]],"mmm-yyyy"))</f>
        <v/>
      </c>
      <c r="M82" s="5" t="str">
        <f>IF(data_entry[[#This Row],[تاريخ الحل
mm/dd/yyyy]]="","",TEXT(data_entry[[#This Row],[تاريخ الحل
mm/dd/yyyy]],"mmm-yyyy"))</f>
        <v/>
      </c>
      <c r="N82" s="21" t="str">
        <f>IF(data_entry[[#This Row],[تاريخ التغذية الراجعة
mm/dd/yyyy]]="","",TEXT(data_entry[[#This Row],[تاريخ التغذية الراجعة
mm/dd/yyyy]],"mmm-yy"))</f>
        <v/>
      </c>
    </row>
    <row r="83" spans="1:14" ht="20" customHeight="1" x14ac:dyDescent="0.35">
      <c r="A83" s="3">
        <v>81</v>
      </c>
      <c r="E83" s="3" t="str">
        <f>IF(data_entry[[#This Row],[تاريخ الشكوي
mm/dd/yyyy]]="","",IF(data_entry[[#This Row],[تاريخ الحل
mm/dd/yyyy]]="","جاري الحل","تم الحل"))</f>
        <v/>
      </c>
      <c r="I83" s="3" t="str">
        <f t="shared" si="1"/>
        <v/>
      </c>
      <c r="J83" s="3" t="str">
        <f>IF(data_entry[[#This Row],[زمن الحل(يوم)]]="", "", IF(data_entry[[#This Row],[زمن الحل(يوم)]]&lt;=3, IF(data_entry[[#This Row],[زمن الحل(يوم)]]&gt;0, "نعم", "لا"), "لا"))</f>
        <v/>
      </c>
      <c r="K8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3" s="11" t="str">
        <f>IF(data_entry[[#This Row],[تاريخ الشكوي
mm/dd/yyyy]]="","",TEXT(data_entry[[#This Row],[تاريخ الشكوي
mm/dd/yyyy]],"mmm-yyyy"))</f>
        <v/>
      </c>
      <c r="M83" s="5" t="str">
        <f>IF(data_entry[[#This Row],[تاريخ الحل
mm/dd/yyyy]]="","",TEXT(data_entry[[#This Row],[تاريخ الحل
mm/dd/yyyy]],"mmm-yyyy"))</f>
        <v/>
      </c>
      <c r="N83" s="21" t="str">
        <f>IF(data_entry[[#This Row],[تاريخ التغذية الراجعة
mm/dd/yyyy]]="","",TEXT(data_entry[[#This Row],[تاريخ التغذية الراجعة
mm/dd/yyyy]],"mmm-yy"))</f>
        <v/>
      </c>
    </row>
    <row r="84" spans="1:14" ht="20" customHeight="1" x14ac:dyDescent="0.35">
      <c r="A84" s="3">
        <v>82</v>
      </c>
      <c r="E84" s="3" t="str">
        <f>IF(data_entry[[#This Row],[تاريخ الشكوي
mm/dd/yyyy]]="","",IF(data_entry[[#This Row],[تاريخ الحل
mm/dd/yyyy]]="","جاري الحل","تم الحل"))</f>
        <v/>
      </c>
      <c r="I84" s="3" t="str">
        <f t="shared" si="1"/>
        <v/>
      </c>
      <c r="J84" s="3" t="str">
        <f>IF(data_entry[[#This Row],[زمن الحل(يوم)]]="", "", IF(data_entry[[#This Row],[زمن الحل(يوم)]]&lt;=3, IF(data_entry[[#This Row],[زمن الحل(يوم)]]&gt;0, "نعم", "لا"), "لا"))</f>
        <v/>
      </c>
      <c r="K8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4" s="11" t="str">
        <f>IF(data_entry[[#This Row],[تاريخ الشكوي
mm/dd/yyyy]]="","",TEXT(data_entry[[#This Row],[تاريخ الشكوي
mm/dd/yyyy]],"mmm-yyyy"))</f>
        <v/>
      </c>
      <c r="M84" s="5" t="str">
        <f>IF(data_entry[[#This Row],[تاريخ الحل
mm/dd/yyyy]]="","",TEXT(data_entry[[#This Row],[تاريخ الحل
mm/dd/yyyy]],"mmm-yyyy"))</f>
        <v/>
      </c>
      <c r="N84" s="21" t="str">
        <f>IF(data_entry[[#This Row],[تاريخ التغذية الراجعة
mm/dd/yyyy]]="","",TEXT(data_entry[[#This Row],[تاريخ التغذية الراجعة
mm/dd/yyyy]],"mmm-yy"))</f>
        <v/>
      </c>
    </row>
    <row r="85" spans="1:14" ht="20" customHeight="1" x14ac:dyDescent="0.35">
      <c r="A85" s="3">
        <v>83</v>
      </c>
      <c r="E85" s="3" t="str">
        <f>IF(data_entry[[#This Row],[تاريخ الشكوي
mm/dd/yyyy]]="","",IF(data_entry[[#This Row],[تاريخ الحل
mm/dd/yyyy]]="","جاري الحل","تم الحل"))</f>
        <v/>
      </c>
      <c r="I85" s="3" t="str">
        <f t="shared" si="1"/>
        <v/>
      </c>
      <c r="J85" s="3" t="str">
        <f>IF(data_entry[[#This Row],[زمن الحل(يوم)]]="", "", IF(data_entry[[#This Row],[زمن الحل(يوم)]]&lt;=3, IF(data_entry[[#This Row],[زمن الحل(يوم)]]&gt;0, "نعم", "لا"), "لا"))</f>
        <v/>
      </c>
      <c r="K8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5" s="11" t="str">
        <f>IF(data_entry[[#This Row],[تاريخ الشكوي
mm/dd/yyyy]]="","",TEXT(data_entry[[#This Row],[تاريخ الشكوي
mm/dd/yyyy]],"mmm-yyyy"))</f>
        <v/>
      </c>
      <c r="M85" s="5" t="str">
        <f>IF(data_entry[[#This Row],[تاريخ الحل
mm/dd/yyyy]]="","",TEXT(data_entry[[#This Row],[تاريخ الحل
mm/dd/yyyy]],"mmm-yyyy"))</f>
        <v/>
      </c>
      <c r="N85" s="21" t="str">
        <f>IF(data_entry[[#This Row],[تاريخ التغذية الراجعة
mm/dd/yyyy]]="","",TEXT(data_entry[[#This Row],[تاريخ التغذية الراجعة
mm/dd/yyyy]],"mmm-yy"))</f>
        <v/>
      </c>
    </row>
    <row r="86" spans="1:14" ht="20" customHeight="1" x14ac:dyDescent="0.35">
      <c r="A86" s="3">
        <v>84</v>
      </c>
      <c r="E86" s="3" t="str">
        <f>IF(data_entry[[#This Row],[تاريخ الشكوي
mm/dd/yyyy]]="","",IF(data_entry[[#This Row],[تاريخ الحل
mm/dd/yyyy]]="","جاري الحل","تم الحل"))</f>
        <v/>
      </c>
      <c r="I86" s="3" t="str">
        <f t="shared" si="1"/>
        <v/>
      </c>
      <c r="J86" s="3" t="str">
        <f>IF(data_entry[[#This Row],[زمن الحل(يوم)]]="", "", IF(data_entry[[#This Row],[زمن الحل(يوم)]]&lt;=3, IF(data_entry[[#This Row],[زمن الحل(يوم)]]&gt;0, "نعم", "لا"), "لا"))</f>
        <v/>
      </c>
      <c r="K8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6" s="11" t="str">
        <f>IF(data_entry[[#This Row],[تاريخ الشكوي
mm/dd/yyyy]]="","",TEXT(data_entry[[#This Row],[تاريخ الشكوي
mm/dd/yyyy]],"mmm-yyyy"))</f>
        <v/>
      </c>
      <c r="M86" s="5" t="str">
        <f>IF(data_entry[[#This Row],[تاريخ الحل
mm/dd/yyyy]]="","",TEXT(data_entry[[#This Row],[تاريخ الحل
mm/dd/yyyy]],"mmm-yyyy"))</f>
        <v/>
      </c>
      <c r="N86" s="21" t="str">
        <f>IF(data_entry[[#This Row],[تاريخ التغذية الراجعة
mm/dd/yyyy]]="","",TEXT(data_entry[[#This Row],[تاريخ التغذية الراجعة
mm/dd/yyyy]],"mmm-yy"))</f>
        <v/>
      </c>
    </row>
    <row r="87" spans="1:14" ht="20" customHeight="1" x14ac:dyDescent="0.35">
      <c r="A87" s="3">
        <v>85</v>
      </c>
      <c r="E87" s="3" t="str">
        <f>IF(data_entry[[#This Row],[تاريخ الشكوي
mm/dd/yyyy]]="","",IF(data_entry[[#This Row],[تاريخ الحل
mm/dd/yyyy]]="","جاري الحل","تم الحل"))</f>
        <v/>
      </c>
      <c r="I87" s="3" t="str">
        <f t="shared" si="1"/>
        <v/>
      </c>
      <c r="J87" s="3" t="str">
        <f>IF(data_entry[[#This Row],[زمن الحل(يوم)]]="", "", IF(data_entry[[#This Row],[زمن الحل(يوم)]]&lt;=3, IF(data_entry[[#This Row],[زمن الحل(يوم)]]&gt;0, "نعم", "لا"), "لا"))</f>
        <v/>
      </c>
      <c r="K8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7" s="11" t="str">
        <f>IF(data_entry[[#This Row],[تاريخ الشكوي
mm/dd/yyyy]]="","",TEXT(data_entry[[#This Row],[تاريخ الشكوي
mm/dd/yyyy]],"mmm-yyyy"))</f>
        <v/>
      </c>
      <c r="M87" s="5" t="str">
        <f>IF(data_entry[[#This Row],[تاريخ الحل
mm/dd/yyyy]]="","",TEXT(data_entry[[#This Row],[تاريخ الحل
mm/dd/yyyy]],"mmm-yyyy"))</f>
        <v/>
      </c>
      <c r="N87" s="21" t="str">
        <f>IF(data_entry[[#This Row],[تاريخ التغذية الراجعة
mm/dd/yyyy]]="","",TEXT(data_entry[[#This Row],[تاريخ التغذية الراجعة
mm/dd/yyyy]],"mmm-yy"))</f>
        <v/>
      </c>
    </row>
    <row r="88" spans="1:14" ht="20" customHeight="1" x14ac:dyDescent="0.35">
      <c r="A88" s="3">
        <v>86</v>
      </c>
      <c r="E88" s="3" t="str">
        <f>IF(data_entry[[#This Row],[تاريخ الشكوي
mm/dd/yyyy]]="","",IF(data_entry[[#This Row],[تاريخ الحل
mm/dd/yyyy]]="","جاري الحل","تم الحل"))</f>
        <v/>
      </c>
      <c r="I88" s="3" t="str">
        <f t="shared" si="1"/>
        <v/>
      </c>
      <c r="J88" s="3" t="str">
        <f>IF(data_entry[[#This Row],[زمن الحل(يوم)]]="", "", IF(data_entry[[#This Row],[زمن الحل(يوم)]]&lt;=3, IF(data_entry[[#This Row],[زمن الحل(يوم)]]&gt;0, "نعم", "لا"), "لا"))</f>
        <v/>
      </c>
      <c r="K8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8" s="11" t="str">
        <f>IF(data_entry[[#This Row],[تاريخ الشكوي
mm/dd/yyyy]]="","",TEXT(data_entry[[#This Row],[تاريخ الشكوي
mm/dd/yyyy]],"mmm-yyyy"))</f>
        <v/>
      </c>
      <c r="M88" s="5" t="str">
        <f>IF(data_entry[[#This Row],[تاريخ الحل
mm/dd/yyyy]]="","",TEXT(data_entry[[#This Row],[تاريخ الحل
mm/dd/yyyy]],"mmm-yyyy"))</f>
        <v/>
      </c>
      <c r="N88" s="21" t="str">
        <f>IF(data_entry[[#This Row],[تاريخ التغذية الراجعة
mm/dd/yyyy]]="","",TEXT(data_entry[[#This Row],[تاريخ التغذية الراجعة
mm/dd/yyyy]],"mmm-yy"))</f>
        <v/>
      </c>
    </row>
    <row r="89" spans="1:14" ht="20" customHeight="1" x14ac:dyDescent="0.35">
      <c r="A89" s="3">
        <v>87</v>
      </c>
      <c r="E89" s="3" t="str">
        <f>IF(data_entry[[#This Row],[تاريخ الشكوي
mm/dd/yyyy]]="","",IF(data_entry[[#This Row],[تاريخ الحل
mm/dd/yyyy]]="","جاري الحل","تم الحل"))</f>
        <v/>
      </c>
      <c r="I89" s="3" t="str">
        <f t="shared" si="1"/>
        <v/>
      </c>
      <c r="J89" s="3" t="str">
        <f>IF(data_entry[[#This Row],[زمن الحل(يوم)]]="", "", IF(data_entry[[#This Row],[زمن الحل(يوم)]]&lt;=3, IF(data_entry[[#This Row],[زمن الحل(يوم)]]&gt;0, "نعم", "لا"), "لا"))</f>
        <v/>
      </c>
      <c r="K8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89" s="11" t="str">
        <f>IF(data_entry[[#This Row],[تاريخ الشكوي
mm/dd/yyyy]]="","",TEXT(data_entry[[#This Row],[تاريخ الشكوي
mm/dd/yyyy]],"mmm-yyyy"))</f>
        <v/>
      </c>
      <c r="M89" s="5" t="str">
        <f>IF(data_entry[[#This Row],[تاريخ الحل
mm/dd/yyyy]]="","",TEXT(data_entry[[#This Row],[تاريخ الحل
mm/dd/yyyy]],"mmm-yyyy"))</f>
        <v/>
      </c>
      <c r="N89" s="21" t="str">
        <f>IF(data_entry[[#This Row],[تاريخ التغذية الراجعة
mm/dd/yyyy]]="","",TEXT(data_entry[[#This Row],[تاريخ التغذية الراجعة
mm/dd/yyyy]],"mmm-yy"))</f>
        <v/>
      </c>
    </row>
    <row r="90" spans="1:14" ht="20" customHeight="1" x14ac:dyDescent="0.35">
      <c r="A90" s="3">
        <v>88</v>
      </c>
      <c r="E90" s="3" t="str">
        <f>IF(data_entry[[#This Row],[تاريخ الشكوي
mm/dd/yyyy]]="","",IF(data_entry[[#This Row],[تاريخ الحل
mm/dd/yyyy]]="","جاري الحل","تم الحل"))</f>
        <v/>
      </c>
      <c r="I90" s="3" t="str">
        <f t="shared" si="1"/>
        <v/>
      </c>
      <c r="J90" s="3" t="str">
        <f>IF(data_entry[[#This Row],[زمن الحل(يوم)]]="", "", IF(data_entry[[#This Row],[زمن الحل(يوم)]]&lt;=3, IF(data_entry[[#This Row],[زمن الحل(يوم)]]&gt;0, "نعم", "لا"), "لا"))</f>
        <v/>
      </c>
      <c r="K9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0" s="11" t="str">
        <f>IF(data_entry[[#This Row],[تاريخ الشكوي
mm/dd/yyyy]]="","",TEXT(data_entry[[#This Row],[تاريخ الشكوي
mm/dd/yyyy]],"mmm-yyyy"))</f>
        <v/>
      </c>
      <c r="M90" s="5" t="str">
        <f>IF(data_entry[[#This Row],[تاريخ الحل
mm/dd/yyyy]]="","",TEXT(data_entry[[#This Row],[تاريخ الحل
mm/dd/yyyy]],"mmm-yyyy"))</f>
        <v/>
      </c>
      <c r="N90" s="21" t="str">
        <f>IF(data_entry[[#This Row],[تاريخ التغذية الراجعة
mm/dd/yyyy]]="","",TEXT(data_entry[[#This Row],[تاريخ التغذية الراجعة
mm/dd/yyyy]],"mmm-yy"))</f>
        <v/>
      </c>
    </row>
    <row r="91" spans="1:14" ht="20" customHeight="1" x14ac:dyDescent="0.35">
      <c r="A91" s="3">
        <v>89</v>
      </c>
      <c r="E91" s="3" t="str">
        <f>IF(data_entry[[#This Row],[تاريخ الشكوي
mm/dd/yyyy]]="","",IF(data_entry[[#This Row],[تاريخ الحل
mm/dd/yyyy]]="","جاري الحل","تم الحل"))</f>
        <v/>
      </c>
      <c r="I91" s="3" t="str">
        <f t="shared" si="1"/>
        <v/>
      </c>
      <c r="J91" s="3" t="str">
        <f>IF(data_entry[[#This Row],[زمن الحل(يوم)]]="", "", IF(data_entry[[#This Row],[زمن الحل(يوم)]]&lt;=3, IF(data_entry[[#This Row],[زمن الحل(يوم)]]&gt;0, "نعم", "لا"), "لا"))</f>
        <v/>
      </c>
      <c r="K9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1" s="11" t="str">
        <f>IF(data_entry[[#This Row],[تاريخ الشكوي
mm/dd/yyyy]]="","",TEXT(data_entry[[#This Row],[تاريخ الشكوي
mm/dd/yyyy]],"mmm-yyyy"))</f>
        <v/>
      </c>
      <c r="M91" s="5" t="str">
        <f>IF(data_entry[[#This Row],[تاريخ الحل
mm/dd/yyyy]]="","",TEXT(data_entry[[#This Row],[تاريخ الحل
mm/dd/yyyy]],"mmm-yyyy"))</f>
        <v/>
      </c>
      <c r="N91" s="21" t="str">
        <f>IF(data_entry[[#This Row],[تاريخ التغذية الراجعة
mm/dd/yyyy]]="","",TEXT(data_entry[[#This Row],[تاريخ التغذية الراجعة
mm/dd/yyyy]],"mmm-yy"))</f>
        <v/>
      </c>
    </row>
    <row r="92" spans="1:14" ht="20" customHeight="1" x14ac:dyDescent="0.35">
      <c r="A92" s="3">
        <v>90</v>
      </c>
      <c r="E92" s="3" t="str">
        <f>IF(data_entry[[#This Row],[تاريخ الشكوي
mm/dd/yyyy]]="","",IF(data_entry[[#This Row],[تاريخ الحل
mm/dd/yyyy]]="","جاري الحل","تم الحل"))</f>
        <v/>
      </c>
      <c r="I92" s="3" t="str">
        <f t="shared" si="1"/>
        <v/>
      </c>
      <c r="J92" s="3" t="str">
        <f>IF(data_entry[[#This Row],[زمن الحل(يوم)]]="", "", IF(data_entry[[#This Row],[زمن الحل(يوم)]]&lt;=3, IF(data_entry[[#This Row],[زمن الحل(يوم)]]&gt;0, "نعم", "لا"), "لا"))</f>
        <v/>
      </c>
      <c r="K9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2" s="11" t="str">
        <f>IF(data_entry[[#This Row],[تاريخ الشكوي
mm/dd/yyyy]]="","",TEXT(data_entry[[#This Row],[تاريخ الشكوي
mm/dd/yyyy]],"mmm-yyyy"))</f>
        <v/>
      </c>
      <c r="M92" s="5" t="str">
        <f>IF(data_entry[[#This Row],[تاريخ الحل
mm/dd/yyyy]]="","",TEXT(data_entry[[#This Row],[تاريخ الحل
mm/dd/yyyy]],"mmm-yyyy"))</f>
        <v/>
      </c>
      <c r="N92" s="21" t="str">
        <f>IF(data_entry[[#This Row],[تاريخ التغذية الراجعة
mm/dd/yyyy]]="","",TEXT(data_entry[[#This Row],[تاريخ التغذية الراجعة
mm/dd/yyyy]],"mmm-yy"))</f>
        <v/>
      </c>
    </row>
    <row r="93" spans="1:14" ht="20" customHeight="1" x14ac:dyDescent="0.35">
      <c r="A93" s="3">
        <v>91</v>
      </c>
      <c r="E93" s="3" t="str">
        <f>IF(data_entry[[#This Row],[تاريخ الشكوي
mm/dd/yyyy]]="","",IF(data_entry[[#This Row],[تاريخ الحل
mm/dd/yyyy]]="","جاري الحل","تم الحل"))</f>
        <v/>
      </c>
      <c r="I93" s="3" t="str">
        <f t="shared" si="1"/>
        <v/>
      </c>
      <c r="J93" s="3" t="str">
        <f>IF(data_entry[[#This Row],[زمن الحل(يوم)]]="", "", IF(data_entry[[#This Row],[زمن الحل(يوم)]]&lt;=3, IF(data_entry[[#This Row],[زمن الحل(يوم)]]&gt;0, "نعم", "لا"), "لا"))</f>
        <v/>
      </c>
      <c r="K9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3" s="11" t="str">
        <f>IF(data_entry[[#This Row],[تاريخ الشكوي
mm/dd/yyyy]]="","",TEXT(data_entry[[#This Row],[تاريخ الشكوي
mm/dd/yyyy]],"mmm-yyyy"))</f>
        <v/>
      </c>
      <c r="M93" s="5" t="str">
        <f>IF(data_entry[[#This Row],[تاريخ الحل
mm/dd/yyyy]]="","",TEXT(data_entry[[#This Row],[تاريخ الحل
mm/dd/yyyy]],"mmm-yyyy"))</f>
        <v/>
      </c>
      <c r="N93" s="21" t="str">
        <f>IF(data_entry[[#This Row],[تاريخ التغذية الراجعة
mm/dd/yyyy]]="","",TEXT(data_entry[[#This Row],[تاريخ التغذية الراجعة
mm/dd/yyyy]],"mmm-yy"))</f>
        <v/>
      </c>
    </row>
    <row r="94" spans="1:14" ht="20" customHeight="1" x14ac:dyDescent="0.35">
      <c r="A94" s="3">
        <v>92</v>
      </c>
      <c r="E94" s="3" t="str">
        <f>IF(data_entry[[#This Row],[تاريخ الشكوي
mm/dd/yyyy]]="","",IF(data_entry[[#This Row],[تاريخ الحل
mm/dd/yyyy]]="","جاري الحل","تم الحل"))</f>
        <v/>
      </c>
      <c r="I94" s="3" t="str">
        <f t="shared" si="1"/>
        <v/>
      </c>
      <c r="J94" s="3" t="str">
        <f>IF(data_entry[[#This Row],[زمن الحل(يوم)]]="", "", IF(data_entry[[#This Row],[زمن الحل(يوم)]]&lt;=3, IF(data_entry[[#This Row],[زمن الحل(يوم)]]&gt;0, "نعم", "لا"), "لا"))</f>
        <v/>
      </c>
      <c r="K9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4" s="11" t="str">
        <f>IF(data_entry[[#This Row],[تاريخ الشكوي
mm/dd/yyyy]]="","",TEXT(data_entry[[#This Row],[تاريخ الشكوي
mm/dd/yyyy]],"mmm-yyyy"))</f>
        <v/>
      </c>
      <c r="M94" s="5" t="str">
        <f>IF(data_entry[[#This Row],[تاريخ الحل
mm/dd/yyyy]]="","",TEXT(data_entry[[#This Row],[تاريخ الحل
mm/dd/yyyy]],"mmm-yyyy"))</f>
        <v/>
      </c>
      <c r="N94" s="21" t="str">
        <f>IF(data_entry[[#This Row],[تاريخ التغذية الراجعة
mm/dd/yyyy]]="","",TEXT(data_entry[[#This Row],[تاريخ التغذية الراجعة
mm/dd/yyyy]],"mmm-yy"))</f>
        <v/>
      </c>
    </row>
    <row r="95" spans="1:14" ht="20" customHeight="1" x14ac:dyDescent="0.35">
      <c r="A95" s="3">
        <v>93</v>
      </c>
      <c r="E95" s="3" t="str">
        <f>IF(data_entry[[#This Row],[تاريخ الشكوي
mm/dd/yyyy]]="","",IF(data_entry[[#This Row],[تاريخ الحل
mm/dd/yyyy]]="","جاري الحل","تم الحل"))</f>
        <v/>
      </c>
      <c r="I95" s="3" t="str">
        <f t="shared" si="1"/>
        <v/>
      </c>
      <c r="J95" s="3" t="str">
        <f>IF(data_entry[[#This Row],[زمن الحل(يوم)]]="", "", IF(data_entry[[#This Row],[زمن الحل(يوم)]]&lt;=3, IF(data_entry[[#This Row],[زمن الحل(يوم)]]&gt;0, "نعم", "لا"), "لا"))</f>
        <v/>
      </c>
      <c r="K9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5" s="11" t="str">
        <f>IF(data_entry[[#This Row],[تاريخ الشكوي
mm/dd/yyyy]]="","",TEXT(data_entry[[#This Row],[تاريخ الشكوي
mm/dd/yyyy]],"mmm-yyyy"))</f>
        <v/>
      </c>
      <c r="M95" s="5" t="str">
        <f>IF(data_entry[[#This Row],[تاريخ الحل
mm/dd/yyyy]]="","",TEXT(data_entry[[#This Row],[تاريخ الحل
mm/dd/yyyy]],"mmm-yyyy"))</f>
        <v/>
      </c>
      <c r="N95" s="21" t="str">
        <f>IF(data_entry[[#This Row],[تاريخ التغذية الراجعة
mm/dd/yyyy]]="","",TEXT(data_entry[[#This Row],[تاريخ التغذية الراجعة
mm/dd/yyyy]],"mmm-yy"))</f>
        <v/>
      </c>
    </row>
    <row r="96" spans="1:14" ht="20" customHeight="1" x14ac:dyDescent="0.35">
      <c r="A96" s="3">
        <v>94</v>
      </c>
      <c r="E96" s="3" t="str">
        <f>IF(data_entry[[#This Row],[تاريخ الشكوي
mm/dd/yyyy]]="","",IF(data_entry[[#This Row],[تاريخ الحل
mm/dd/yyyy]]="","جاري الحل","تم الحل"))</f>
        <v/>
      </c>
      <c r="I96" s="3" t="str">
        <f t="shared" si="1"/>
        <v/>
      </c>
      <c r="J96" s="3" t="str">
        <f>IF(data_entry[[#This Row],[زمن الحل(يوم)]]="", "", IF(data_entry[[#This Row],[زمن الحل(يوم)]]&lt;=3, IF(data_entry[[#This Row],[زمن الحل(يوم)]]&gt;0, "نعم", "لا"), "لا"))</f>
        <v/>
      </c>
      <c r="K9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6" s="11" t="str">
        <f>IF(data_entry[[#This Row],[تاريخ الشكوي
mm/dd/yyyy]]="","",TEXT(data_entry[[#This Row],[تاريخ الشكوي
mm/dd/yyyy]],"mmm-yyyy"))</f>
        <v/>
      </c>
      <c r="M96" s="5" t="str">
        <f>IF(data_entry[[#This Row],[تاريخ الحل
mm/dd/yyyy]]="","",TEXT(data_entry[[#This Row],[تاريخ الحل
mm/dd/yyyy]],"mmm-yyyy"))</f>
        <v/>
      </c>
      <c r="N96" s="21" t="str">
        <f>IF(data_entry[[#This Row],[تاريخ التغذية الراجعة
mm/dd/yyyy]]="","",TEXT(data_entry[[#This Row],[تاريخ التغذية الراجعة
mm/dd/yyyy]],"mmm-yy"))</f>
        <v/>
      </c>
    </row>
    <row r="97" spans="1:14" ht="20" customHeight="1" x14ac:dyDescent="0.35">
      <c r="A97" s="3">
        <v>95</v>
      </c>
      <c r="E97" s="3" t="str">
        <f>IF(data_entry[[#This Row],[تاريخ الشكوي
mm/dd/yyyy]]="","",IF(data_entry[[#This Row],[تاريخ الحل
mm/dd/yyyy]]="","جاري الحل","تم الحل"))</f>
        <v/>
      </c>
      <c r="I97" s="3" t="str">
        <f t="shared" si="1"/>
        <v/>
      </c>
      <c r="J97" s="3" t="str">
        <f>IF(data_entry[[#This Row],[زمن الحل(يوم)]]="", "", IF(data_entry[[#This Row],[زمن الحل(يوم)]]&lt;=3, IF(data_entry[[#This Row],[زمن الحل(يوم)]]&gt;0, "نعم", "لا"), "لا"))</f>
        <v/>
      </c>
      <c r="K9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7" s="11" t="str">
        <f>IF(data_entry[[#This Row],[تاريخ الشكوي
mm/dd/yyyy]]="","",TEXT(data_entry[[#This Row],[تاريخ الشكوي
mm/dd/yyyy]],"mmm-yyyy"))</f>
        <v/>
      </c>
      <c r="M97" s="5" t="str">
        <f>IF(data_entry[[#This Row],[تاريخ الحل
mm/dd/yyyy]]="","",TEXT(data_entry[[#This Row],[تاريخ الحل
mm/dd/yyyy]],"mmm-yyyy"))</f>
        <v/>
      </c>
      <c r="N97" s="21" t="str">
        <f>IF(data_entry[[#This Row],[تاريخ التغذية الراجعة
mm/dd/yyyy]]="","",TEXT(data_entry[[#This Row],[تاريخ التغذية الراجعة
mm/dd/yyyy]],"mmm-yy"))</f>
        <v/>
      </c>
    </row>
    <row r="98" spans="1:14" ht="20" customHeight="1" x14ac:dyDescent="0.35">
      <c r="A98" s="3">
        <v>96</v>
      </c>
      <c r="E98" s="3" t="str">
        <f>IF(data_entry[[#This Row],[تاريخ الشكوي
mm/dd/yyyy]]="","",IF(data_entry[[#This Row],[تاريخ الحل
mm/dd/yyyy]]="","جاري الحل","تم الحل"))</f>
        <v/>
      </c>
      <c r="I98" s="3" t="str">
        <f t="shared" si="1"/>
        <v/>
      </c>
      <c r="J98" s="3" t="str">
        <f>IF(data_entry[[#This Row],[زمن الحل(يوم)]]="", "", IF(data_entry[[#This Row],[زمن الحل(يوم)]]&lt;=3, IF(data_entry[[#This Row],[زمن الحل(يوم)]]&gt;0, "نعم", "لا"), "لا"))</f>
        <v/>
      </c>
      <c r="K9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8" s="11" t="str">
        <f>IF(data_entry[[#This Row],[تاريخ الشكوي
mm/dd/yyyy]]="","",TEXT(data_entry[[#This Row],[تاريخ الشكوي
mm/dd/yyyy]],"mmm-yyyy"))</f>
        <v/>
      </c>
      <c r="M98" s="5" t="str">
        <f>IF(data_entry[[#This Row],[تاريخ الحل
mm/dd/yyyy]]="","",TEXT(data_entry[[#This Row],[تاريخ الحل
mm/dd/yyyy]],"mmm-yyyy"))</f>
        <v/>
      </c>
      <c r="N98" s="21" t="str">
        <f>IF(data_entry[[#This Row],[تاريخ التغذية الراجعة
mm/dd/yyyy]]="","",TEXT(data_entry[[#This Row],[تاريخ التغذية الراجعة
mm/dd/yyyy]],"mmm-yy"))</f>
        <v/>
      </c>
    </row>
    <row r="99" spans="1:14" ht="20" customHeight="1" x14ac:dyDescent="0.35">
      <c r="A99" s="3">
        <v>97</v>
      </c>
      <c r="E99" s="3" t="str">
        <f>IF(data_entry[[#This Row],[تاريخ الشكوي
mm/dd/yyyy]]="","",IF(data_entry[[#This Row],[تاريخ الحل
mm/dd/yyyy]]="","جاري الحل","تم الحل"))</f>
        <v/>
      </c>
      <c r="I99" s="3" t="str">
        <f t="shared" si="1"/>
        <v/>
      </c>
      <c r="J99" s="3" t="str">
        <f>IF(data_entry[[#This Row],[زمن الحل(يوم)]]="", "", IF(data_entry[[#This Row],[زمن الحل(يوم)]]&lt;=3, IF(data_entry[[#This Row],[زمن الحل(يوم)]]&gt;0, "نعم", "لا"), "لا"))</f>
        <v/>
      </c>
      <c r="K9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99" s="11" t="str">
        <f>IF(data_entry[[#This Row],[تاريخ الشكوي
mm/dd/yyyy]]="","",TEXT(data_entry[[#This Row],[تاريخ الشكوي
mm/dd/yyyy]],"mmm-yyyy"))</f>
        <v/>
      </c>
      <c r="M99" s="5" t="str">
        <f>IF(data_entry[[#This Row],[تاريخ الحل
mm/dd/yyyy]]="","",TEXT(data_entry[[#This Row],[تاريخ الحل
mm/dd/yyyy]],"mmm-yyyy"))</f>
        <v/>
      </c>
      <c r="N99" s="21" t="str">
        <f>IF(data_entry[[#This Row],[تاريخ التغذية الراجعة
mm/dd/yyyy]]="","",TEXT(data_entry[[#This Row],[تاريخ التغذية الراجعة
mm/dd/yyyy]],"mmm-yy"))</f>
        <v/>
      </c>
    </row>
    <row r="100" spans="1:14" ht="20" customHeight="1" x14ac:dyDescent="0.35">
      <c r="A100" s="3">
        <v>98</v>
      </c>
      <c r="E100" s="3" t="str">
        <f>IF(data_entry[[#This Row],[تاريخ الشكوي
mm/dd/yyyy]]="","",IF(data_entry[[#This Row],[تاريخ الحل
mm/dd/yyyy]]="","جاري الحل","تم الحل"))</f>
        <v/>
      </c>
      <c r="I100" s="3" t="str">
        <f t="shared" si="1"/>
        <v/>
      </c>
      <c r="J100" s="3" t="str">
        <f>IF(data_entry[[#This Row],[زمن الحل(يوم)]]="", "", IF(data_entry[[#This Row],[زمن الحل(يوم)]]&lt;=3, IF(data_entry[[#This Row],[زمن الحل(يوم)]]&gt;0, "نعم", "لا"), "لا"))</f>
        <v/>
      </c>
      <c r="K10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0" s="11" t="str">
        <f>IF(data_entry[[#This Row],[تاريخ الشكوي
mm/dd/yyyy]]="","",TEXT(data_entry[[#This Row],[تاريخ الشكوي
mm/dd/yyyy]],"mmm-yyyy"))</f>
        <v/>
      </c>
      <c r="M100" s="5" t="str">
        <f>IF(data_entry[[#This Row],[تاريخ الحل
mm/dd/yyyy]]="","",TEXT(data_entry[[#This Row],[تاريخ الحل
mm/dd/yyyy]],"mmm-yyyy"))</f>
        <v/>
      </c>
      <c r="N100" s="21" t="str">
        <f>IF(data_entry[[#This Row],[تاريخ التغذية الراجعة
mm/dd/yyyy]]="","",TEXT(data_entry[[#This Row],[تاريخ التغذية الراجعة
mm/dd/yyyy]],"mmm-yy"))</f>
        <v/>
      </c>
    </row>
    <row r="101" spans="1:14" ht="20" customHeight="1" x14ac:dyDescent="0.35">
      <c r="A101" s="3">
        <v>99</v>
      </c>
      <c r="E101" s="3" t="str">
        <f>IF(data_entry[[#This Row],[تاريخ الشكوي
mm/dd/yyyy]]="","",IF(data_entry[[#This Row],[تاريخ الحل
mm/dd/yyyy]]="","جاري الحل","تم الحل"))</f>
        <v/>
      </c>
      <c r="I101" s="3" t="str">
        <f t="shared" si="1"/>
        <v/>
      </c>
      <c r="J101" s="3" t="str">
        <f>IF(data_entry[[#This Row],[زمن الحل(يوم)]]="", "", IF(data_entry[[#This Row],[زمن الحل(يوم)]]&lt;=3, IF(data_entry[[#This Row],[زمن الحل(يوم)]]&gt;0, "نعم", "لا"), "لا"))</f>
        <v/>
      </c>
      <c r="K10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1" s="11" t="str">
        <f>IF(data_entry[[#This Row],[تاريخ الشكوي
mm/dd/yyyy]]="","",TEXT(data_entry[[#This Row],[تاريخ الشكوي
mm/dd/yyyy]],"mmm-yyyy"))</f>
        <v/>
      </c>
      <c r="M101" s="5" t="str">
        <f>IF(data_entry[[#This Row],[تاريخ الحل
mm/dd/yyyy]]="","",TEXT(data_entry[[#This Row],[تاريخ الحل
mm/dd/yyyy]],"mmm-yyyy"))</f>
        <v/>
      </c>
      <c r="N101" s="21" t="str">
        <f>IF(data_entry[[#This Row],[تاريخ التغذية الراجعة
mm/dd/yyyy]]="","",TEXT(data_entry[[#This Row],[تاريخ التغذية الراجعة
mm/dd/yyyy]],"mmm-yy"))</f>
        <v/>
      </c>
    </row>
    <row r="102" spans="1:14" ht="20" customHeight="1" x14ac:dyDescent="0.35">
      <c r="A102" s="3">
        <v>100</v>
      </c>
      <c r="E102" s="3" t="str">
        <f>IF(data_entry[[#This Row],[تاريخ الشكوي
mm/dd/yyyy]]="","",IF(data_entry[[#This Row],[تاريخ الحل
mm/dd/yyyy]]="","جاري الحل","تم الحل"))</f>
        <v/>
      </c>
      <c r="I102" s="3" t="str">
        <f t="shared" si="1"/>
        <v/>
      </c>
      <c r="J102" s="3" t="str">
        <f>IF(data_entry[[#This Row],[زمن الحل(يوم)]]="", "", IF(data_entry[[#This Row],[زمن الحل(يوم)]]&lt;=3, IF(data_entry[[#This Row],[زمن الحل(يوم)]]&gt;0, "نعم", "لا"), "لا"))</f>
        <v/>
      </c>
      <c r="K10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2" s="11" t="str">
        <f>IF(data_entry[[#This Row],[تاريخ الشكوي
mm/dd/yyyy]]="","",TEXT(data_entry[[#This Row],[تاريخ الشكوي
mm/dd/yyyy]],"mmm-yyyy"))</f>
        <v/>
      </c>
      <c r="M102" s="5" t="str">
        <f>IF(data_entry[[#This Row],[تاريخ الحل
mm/dd/yyyy]]="","",TEXT(data_entry[[#This Row],[تاريخ الحل
mm/dd/yyyy]],"mmm-yyyy"))</f>
        <v/>
      </c>
      <c r="N102" s="21" t="str">
        <f>IF(data_entry[[#This Row],[تاريخ التغذية الراجعة
mm/dd/yyyy]]="","",TEXT(data_entry[[#This Row],[تاريخ التغذية الراجعة
mm/dd/yyyy]],"mmm-yy"))</f>
        <v/>
      </c>
    </row>
    <row r="103" spans="1:14" ht="20" customHeight="1" x14ac:dyDescent="0.35">
      <c r="A103" s="3">
        <v>101</v>
      </c>
      <c r="E103" s="3" t="str">
        <f>IF(data_entry[[#This Row],[تاريخ الشكوي
mm/dd/yyyy]]="","",IF(data_entry[[#This Row],[تاريخ الحل
mm/dd/yyyy]]="","جاري الحل","تم الحل"))</f>
        <v/>
      </c>
      <c r="I103" s="3" t="str">
        <f t="shared" si="1"/>
        <v/>
      </c>
      <c r="J103" s="3" t="str">
        <f>IF(data_entry[[#This Row],[زمن الحل(يوم)]]="", "", IF(data_entry[[#This Row],[زمن الحل(يوم)]]&lt;=3, IF(data_entry[[#This Row],[زمن الحل(يوم)]]&gt;0, "نعم", "لا"), "لا"))</f>
        <v/>
      </c>
      <c r="K10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3" s="11" t="str">
        <f>IF(data_entry[[#This Row],[تاريخ الشكوي
mm/dd/yyyy]]="","",TEXT(data_entry[[#This Row],[تاريخ الشكوي
mm/dd/yyyy]],"mmm-yyyy"))</f>
        <v/>
      </c>
      <c r="M103" s="5" t="str">
        <f>IF(data_entry[[#This Row],[تاريخ الحل
mm/dd/yyyy]]="","",TEXT(data_entry[[#This Row],[تاريخ الحل
mm/dd/yyyy]],"mmm-yyyy"))</f>
        <v/>
      </c>
      <c r="N103" s="21" t="str">
        <f>IF(data_entry[[#This Row],[تاريخ التغذية الراجعة
mm/dd/yyyy]]="","",TEXT(data_entry[[#This Row],[تاريخ التغذية الراجعة
mm/dd/yyyy]],"mmm-yy"))</f>
        <v/>
      </c>
    </row>
    <row r="104" spans="1:14" ht="20" customHeight="1" x14ac:dyDescent="0.35">
      <c r="A104" s="3">
        <v>102</v>
      </c>
      <c r="E104" s="3" t="str">
        <f>IF(data_entry[[#This Row],[تاريخ الشكوي
mm/dd/yyyy]]="","",IF(data_entry[[#This Row],[تاريخ الحل
mm/dd/yyyy]]="","جاري الحل","تم الحل"))</f>
        <v/>
      </c>
      <c r="I104" s="3" t="str">
        <f t="shared" si="1"/>
        <v/>
      </c>
      <c r="J104" s="3" t="str">
        <f>IF(data_entry[[#This Row],[زمن الحل(يوم)]]="", "", IF(data_entry[[#This Row],[زمن الحل(يوم)]]&lt;=3, IF(data_entry[[#This Row],[زمن الحل(يوم)]]&gt;0, "نعم", "لا"), "لا"))</f>
        <v/>
      </c>
      <c r="K10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4" s="11" t="str">
        <f>IF(data_entry[[#This Row],[تاريخ الشكوي
mm/dd/yyyy]]="","",TEXT(data_entry[[#This Row],[تاريخ الشكوي
mm/dd/yyyy]],"mmm-yyyy"))</f>
        <v/>
      </c>
      <c r="M104" s="5" t="str">
        <f>IF(data_entry[[#This Row],[تاريخ الحل
mm/dd/yyyy]]="","",TEXT(data_entry[[#This Row],[تاريخ الحل
mm/dd/yyyy]],"mmm-yyyy"))</f>
        <v/>
      </c>
      <c r="N104" s="21" t="str">
        <f>IF(data_entry[[#This Row],[تاريخ التغذية الراجعة
mm/dd/yyyy]]="","",TEXT(data_entry[[#This Row],[تاريخ التغذية الراجعة
mm/dd/yyyy]],"mmm-yy"))</f>
        <v/>
      </c>
    </row>
    <row r="105" spans="1:14" ht="20" customHeight="1" x14ac:dyDescent="0.35">
      <c r="A105" s="3">
        <v>103</v>
      </c>
      <c r="E105" s="3" t="str">
        <f>IF(data_entry[[#This Row],[تاريخ الشكوي
mm/dd/yyyy]]="","",IF(data_entry[[#This Row],[تاريخ الحل
mm/dd/yyyy]]="","جاري الحل","تم الحل"))</f>
        <v/>
      </c>
      <c r="I105" s="3" t="str">
        <f t="shared" si="1"/>
        <v/>
      </c>
      <c r="J105" s="3" t="str">
        <f>IF(data_entry[[#This Row],[زمن الحل(يوم)]]="", "", IF(data_entry[[#This Row],[زمن الحل(يوم)]]&lt;=3, IF(data_entry[[#This Row],[زمن الحل(يوم)]]&gt;0, "نعم", "لا"), "لا"))</f>
        <v/>
      </c>
      <c r="K10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5" s="11" t="str">
        <f>IF(data_entry[[#This Row],[تاريخ الشكوي
mm/dd/yyyy]]="","",TEXT(data_entry[[#This Row],[تاريخ الشكوي
mm/dd/yyyy]],"mmm-yyyy"))</f>
        <v/>
      </c>
      <c r="M105" s="5" t="str">
        <f>IF(data_entry[[#This Row],[تاريخ الحل
mm/dd/yyyy]]="","",TEXT(data_entry[[#This Row],[تاريخ الحل
mm/dd/yyyy]],"mmm-yyyy"))</f>
        <v/>
      </c>
      <c r="N105" s="21" t="str">
        <f>IF(data_entry[[#This Row],[تاريخ التغذية الراجعة
mm/dd/yyyy]]="","",TEXT(data_entry[[#This Row],[تاريخ التغذية الراجعة
mm/dd/yyyy]],"mmm-yy"))</f>
        <v/>
      </c>
    </row>
    <row r="106" spans="1:14" ht="20" customHeight="1" x14ac:dyDescent="0.35">
      <c r="A106" s="3">
        <v>104</v>
      </c>
      <c r="E106" s="3" t="str">
        <f>IF(data_entry[[#This Row],[تاريخ الشكوي
mm/dd/yyyy]]="","",IF(data_entry[[#This Row],[تاريخ الحل
mm/dd/yyyy]]="","جاري الحل","تم الحل"))</f>
        <v/>
      </c>
      <c r="I106" s="3" t="str">
        <f t="shared" si="1"/>
        <v/>
      </c>
      <c r="J106" s="3" t="str">
        <f>IF(data_entry[[#This Row],[زمن الحل(يوم)]]="", "", IF(data_entry[[#This Row],[زمن الحل(يوم)]]&lt;=3, IF(data_entry[[#This Row],[زمن الحل(يوم)]]&gt;0, "نعم", "لا"), "لا"))</f>
        <v/>
      </c>
      <c r="K10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6" s="11" t="str">
        <f>IF(data_entry[[#This Row],[تاريخ الشكوي
mm/dd/yyyy]]="","",TEXT(data_entry[[#This Row],[تاريخ الشكوي
mm/dd/yyyy]],"mmm-yyyy"))</f>
        <v/>
      </c>
      <c r="M106" s="5" t="str">
        <f>IF(data_entry[[#This Row],[تاريخ الحل
mm/dd/yyyy]]="","",TEXT(data_entry[[#This Row],[تاريخ الحل
mm/dd/yyyy]],"mmm-yyyy"))</f>
        <v/>
      </c>
      <c r="N106" s="21" t="str">
        <f>IF(data_entry[[#This Row],[تاريخ التغذية الراجعة
mm/dd/yyyy]]="","",TEXT(data_entry[[#This Row],[تاريخ التغذية الراجعة
mm/dd/yyyy]],"mmm-yy"))</f>
        <v/>
      </c>
    </row>
    <row r="107" spans="1:14" ht="20" customHeight="1" x14ac:dyDescent="0.35">
      <c r="A107" s="3">
        <v>105</v>
      </c>
      <c r="E107" s="3" t="str">
        <f>IF(data_entry[[#This Row],[تاريخ الشكوي
mm/dd/yyyy]]="","",IF(data_entry[[#This Row],[تاريخ الحل
mm/dd/yyyy]]="","جاري الحل","تم الحل"))</f>
        <v/>
      </c>
      <c r="I107" s="3" t="str">
        <f t="shared" si="1"/>
        <v/>
      </c>
      <c r="J107" s="3" t="str">
        <f>IF(data_entry[[#This Row],[زمن الحل(يوم)]]="", "", IF(data_entry[[#This Row],[زمن الحل(يوم)]]&lt;=3, IF(data_entry[[#This Row],[زمن الحل(يوم)]]&gt;0, "نعم", "لا"), "لا"))</f>
        <v/>
      </c>
      <c r="K10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7" s="11" t="str">
        <f>IF(data_entry[[#This Row],[تاريخ الشكوي
mm/dd/yyyy]]="","",TEXT(data_entry[[#This Row],[تاريخ الشكوي
mm/dd/yyyy]],"mmm-yyyy"))</f>
        <v/>
      </c>
      <c r="M107" s="5" t="str">
        <f>IF(data_entry[[#This Row],[تاريخ الحل
mm/dd/yyyy]]="","",TEXT(data_entry[[#This Row],[تاريخ الحل
mm/dd/yyyy]],"mmm-yyyy"))</f>
        <v/>
      </c>
      <c r="N107" s="21" t="str">
        <f>IF(data_entry[[#This Row],[تاريخ التغذية الراجعة
mm/dd/yyyy]]="","",TEXT(data_entry[[#This Row],[تاريخ التغذية الراجعة
mm/dd/yyyy]],"mmm-yy"))</f>
        <v/>
      </c>
    </row>
    <row r="108" spans="1:14" ht="20" customHeight="1" x14ac:dyDescent="0.35">
      <c r="A108" s="3">
        <v>106</v>
      </c>
      <c r="E108" s="3" t="str">
        <f>IF(data_entry[[#This Row],[تاريخ الشكوي
mm/dd/yyyy]]="","",IF(data_entry[[#This Row],[تاريخ الحل
mm/dd/yyyy]]="","جاري الحل","تم الحل"))</f>
        <v/>
      </c>
      <c r="I108" s="3" t="str">
        <f t="shared" si="1"/>
        <v/>
      </c>
      <c r="J108" s="3" t="str">
        <f>IF(data_entry[[#This Row],[زمن الحل(يوم)]]="", "", IF(data_entry[[#This Row],[زمن الحل(يوم)]]&lt;=3, IF(data_entry[[#This Row],[زمن الحل(يوم)]]&gt;0, "نعم", "لا"), "لا"))</f>
        <v/>
      </c>
      <c r="K10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8" s="11" t="str">
        <f>IF(data_entry[[#This Row],[تاريخ الشكوي
mm/dd/yyyy]]="","",TEXT(data_entry[[#This Row],[تاريخ الشكوي
mm/dd/yyyy]],"mmm-yyyy"))</f>
        <v/>
      </c>
      <c r="M108" s="5" t="str">
        <f>IF(data_entry[[#This Row],[تاريخ الحل
mm/dd/yyyy]]="","",TEXT(data_entry[[#This Row],[تاريخ الحل
mm/dd/yyyy]],"mmm-yyyy"))</f>
        <v/>
      </c>
      <c r="N108" s="21" t="str">
        <f>IF(data_entry[[#This Row],[تاريخ التغذية الراجعة
mm/dd/yyyy]]="","",TEXT(data_entry[[#This Row],[تاريخ التغذية الراجعة
mm/dd/yyyy]],"mmm-yy"))</f>
        <v/>
      </c>
    </row>
    <row r="109" spans="1:14" ht="20" customHeight="1" x14ac:dyDescent="0.35">
      <c r="A109" s="3">
        <v>107</v>
      </c>
      <c r="E109" s="3" t="str">
        <f>IF(data_entry[[#This Row],[تاريخ الشكوي
mm/dd/yyyy]]="","",IF(data_entry[[#This Row],[تاريخ الحل
mm/dd/yyyy]]="","جاري الحل","تم الحل"))</f>
        <v/>
      </c>
      <c r="I109" s="3" t="str">
        <f t="shared" si="1"/>
        <v/>
      </c>
      <c r="J109" s="3" t="str">
        <f>IF(data_entry[[#This Row],[زمن الحل(يوم)]]="", "", IF(data_entry[[#This Row],[زمن الحل(يوم)]]&lt;=3, IF(data_entry[[#This Row],[زمن الحل(يوم)]]&gt;0, "نعم", "لا"), "لا"))</f>
        <v/>
      </c>
      <c r="K10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09" s="11" t="str">
        <f>IF(data_entry[[#This Row],[تاريخ الشكوي
mm/dd/yyyy]]="","",TEXT(data_entry[[#This Row],[تاريخ الشكوي
mm/dd/yyyy]],"mmm-yyyy"))</f>
        <v/>
      </c>
      <c r="M109" s="5" t="str">
        <f>IF(data_entry[[#This Row],[تاريخ الحل
mm/dd/yyyy]]="","",TEXT(data_entry[[#This Row],[تاريخ الحل
mm/dd/yyyy]],"mmm-yyyy"))</f>
        <v/>
      </c>
      <c r="N109" s="21" t="str">
        <f>IF(data_entry[[#This Row],[تاريخ التغذية الراجعة
mm/dd/yyyy]]="","",TEXT(data_entry[[#This Row],[تاريخ التغذية الراجعة
mm/dd/yyyy]],"mmm-yy"))</f>
        <v/>
      </c>
    </row>
    <row r="110" spans="1:14" ht="20" customHeight="1" x14ac:dyDescent="0.35">
      <c r="A110" s="3">
        <v>108</v>
      </c>
      <c r="E110" s="3" t="str">
        <f>IF(data_entry[[#This Row],[تاريخ الشكوي
mm/dd/yyyy]]="","",IF(data_entry[[#This Row],[تاريخ الحل
mm/dd/yyyy]]="","جاري الحل","تم الحل"))</f>
        <v/>
      </c>
      <c r="I110" s="3" t="str">
        <f t="shared" si="1"/>
        <v/>
      </c>
      <c r="J110" s="3" t="str">
        <f>IF(data_entry[[#This Row],[زمن الحل(يوم)]]="", "", IF(data_entry[[#This Row],[زمن الحل(يوم)]]&lt;=3, IF(data_entry[[#This Row],[زمن الحل(يوم)]]&gt;0, "نعم", "لا"), "لا"))</f>
        <v/>
      </c>
      <c r="K11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0" s="11" t="str">
        <f>IF(data_entry[[#This Row],[تاريخ الشكوي
mm/dd/yyyy]]="","",TEXT(data_entry[[#This Row],[تاريخ الشكوي
mm/dd/yyyy]],"mmm-yyyy"))</f>
        <v/>
      </c>
      <c r="M110" s="5" t="str">
        <f>IF(data_entry[[#This Row],[تاريخ الحل
mm/dd/yyyy]]="","",TEXT(data_entry[[#This Row],[تاريخ الحل
mm/dd/yyyy]],"mmm-yyyy"))</f>
        <v/>
      </c>
      <c r="N110" s="21" t="str">
        <f>IF(data_entry[[#This Row],[تاريخ التغذية الراجعة
mm/dd/yyyy]]="","",TEXT(data_entry[[#This Row],[تاريخ التغذية الراجعة
mm/dd/yyyy]],"mmm-yy"))</f>
        <v/>
      </c>
    </row>
    <row r="111" spans="1:14" ht="20" customHeight="1" x14ac:dyDescent="0.35">
      <c r="A111" s="3">
        <v>109</v>
      </c>
      <c r="E111" s="3" t="str">
        <f>IF(data_entry[[#This Row],[تاريخ الشكوي
mm/dd/yyyy]]="","",IF(data_entry[[#This Row],[تاريخ الحل
mm/dd/yyyy]]="","جاري الحل","تم الحل"))</f>
        <v/>
      </c>
      <c r="I111" s="3" t="str">
        <f t="shared" si="1"/>
        <v/>
      </c>
      <c r="J111" s="3" t="str">
        <f>IF(data_entry[[#This Row],[زمن الحل(يوم)]]="", "", IF(data_entry[[#This Row],[زمن الحل(يوم)]]&lt;=3, IF(data_entry[[#This Row],[زمن الحل(يوم)]]&gt;0, "نعم", "لا"), "لا"))</f>
        <v/>
      </c>
      <c r="K11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1" s="11" t="str">
        <f>IF(data_entry[[#This Row],[تاريخ الشكوي
mm/dd/yyyy]]="","",TEXT(data_entry[[#This Row],[تاريخ الشكوي
mm/dd/yyyy]],"mmm-yyyy"))</f>
        <v/>
      </c>
      <c r="M111" s="5" t="str">
        <f>IF(data_entry[[#This Row],[تاريخ الحل
mm/dd/yyyy]]="","",TEXT(data_entry[[#This Row],[تاريخ الحل
mm/dd/yyyy]],"mmm-yyyy"))</f>
        <v/>
      </c>
      <c r="N111" s="21" t="str">
        <f>IF(data_entry[[#This Row],[تاريخ التغذية الراجعة
mm/dd/yyyy]]="","",TEXT(data_entry[[#This Row],[تاريخ التغذية الراجعة
mm/dd/yyyy]],"mmm-yy"))</f>
        <v/>
      </c>
    </row>
    <row r="112" spans="1:14" ht="20" customHeight="1" x14ac:dyDescent="0.35">
      <c r="A112" s="3">
        <v>110</v>
      </c>
      <c r="E112" s="3" t="str">
        <f>IF(data_entry[[#This Row],[تاريخ الشكوي
mm/dd/yyyy]]="","",IF(data_entry[[#This Row],[تاريخ الحل
mm/dd/yyyy]]="","جاري الحل","تم الحل"))</f>
        <v/>
      </c>
      <c r="I112" s="3" t="str">
        <f t="shared" si="1"/>
        <v/>
      </c>
      <c r="J112" s="3" t="str">
        <f>IF(data_entry[[#This Row],[زمن الحل(يوم)]]="", "", IF(data_entry[[#This Row],[زمن الحل(يوم)]]&lt;=3, IF(data_entry[[#This Row],[زمن الحل(يوم)]]&gt;0, "نعم", "لا"), "لا"))</f>
        <v/>
      </c>
      <c r="K11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2" s="11" t="str">
        <f>IF(data_entry[[#This Row],[تاريخ الشكوي
mm/dd/yyyy]]="","",TEXT(data_entry[[#This Row],[تاريخ الشكوي
mm/dd/yyyy]],"mmm-yyyy"))</f>
        <v/>
      </c>
      <c r="M112" s="5" t="str">
        <f>IF(data_entry[[#This Row],[تاريخ الحل
mm/dd/yyyy]]="","",TEXT(data_entry[[#This Row],[تاريخ الحل
mm/dd/yyyy]],"mmm-yyyy"))</f>
        <v/>
      </c>
      <c r="N112" s="21" t="str">
        <f>IF(data_entry[[#This Row],[تاريخ التغذية الراجعة
mm/dd/yyyy]]="","",TEXT(data_entry[[#This Row],[تاريخ التغذية الراجعة
mm/dd/yyyy]],"mmm-yy"))</f>
        <v/>
      </c>
    </row>
    <row r="113" spans="1:14" ht="20" customHeight="1" x14ac:dyDescent="0.35">
      <c r="A113" s="3">
        <v>111</v>
      </c>
      <c r="E113" s="3" t="str">
        <f>IF(data_entry[[#This Row],[تاريخ الشكوي
mm/dd/yyyy]]="","",IF(data_entry[[#This Row],[تاريخ الحل
mm/dd/yyyy]]="","جاري الحل","تم الحل"))</f>
        <v/>
      </c>
      <c r="I113" s="3" t="str">
        <f t="shared" si="1"/>
        <v/>
      </c>
      <c r="J113" s="3" t="str">
        <f>IF(data_entry[[#This Row],[زمن الحل(يوم)]]="", "", IF(data_entry[[#This Row],[زمن الحل(يوم)]]&lt;=3, IF(data_entry[[#This Row],[زمن الحل(يوم)]]&gt;0, "نعم", "لا"), "لا"))</f>
        <v/>
      </c>
      <c r="K11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3" s="11" t="str">
        <f>IF(data_entry[[#This Row],[تاريخ الشكوي
mm/dd/yyyy]]="","",TEXT(data_entry[[#This Row],[تاريخ الشكوي
mm/dd/yyyy]],"mmm-yyyy"))</f>
        <v/>
      </c>
      <c r="M113" s="5" t="str">
        <f>IF(data_entry[[#This Row],[تاريخ الحل
mm/dd/yyyy]]="","",TEXT(data_entry[[#This Row],[تاريخ الحل
mm/dd/yyyy]],"mmm-yyyy"))</f>
        <v/>
      </c>
      <c r="N113" s="21" t="str">
        <f>IF(data_entry[[#This Row],[تاريخ التغذية الراجعة
mm/dd/yyyy]]="","",TEXT(data_entry[[#This Row],[تاريخ التغذية الراجعة
mm/dd/yyyy]],"mmm-yy"))</f>
        <v/>
      </c>
    </row>
    <row r="114" spans="1:14" ht="20" customHeight="1" x14ac:dyDescent="0.35">
      <c r="A114" s="3">
        <v>112</v>
      </c>
      <c r="E114" s="3" t="str">
        <f>IF(data_entry[[#This Row],[تاريخ الشكوي
mm/dd/yyyy]]="","",IF(data_entry[[#This Row],[تاريخ الحل
mm/dd/yyyy]]="","جاري الحل","تم الحل"))</f>
        <v/>
      </c>
      <c r="I114" s="3" t="str">
        <f t="shared" si="1"/>
        <v/>
      </c>
      <c r="J114" s="3" t="str">
        <f>IF(data_entry[[#This Row],[زمن الحل(يوم)]]="", "", IF(data_entry[[#This Row],[زمن الحل(يوم)]]&lt;=3, IF(data_entry[[#This Row],[زمن الحل(يوم)]]&gt;0, "نعم", "لا"), "لا"))</f>
        <v/>
      </c>
      <c r="K11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4" s="11" t="str">
        <f>IF(data_entry[[#This Row],[تاريخ الشكوي
mm/dd/yyyy]]="","",TEXT(data_entry[[#This Row],[تاريخ الشكوي
mm/dd/yyyy]],"mmm-yyyy"))</f>
        <v/>
      </c>
      <c r="M114" s="5" t="str">
        <f>IF(data_entry[[#This Row],[تاريخ الحل
mm/dd/yyyy]]="","",TEXT(data_entry[[#This Row],[تاريخ الحل
mm/dd/yyyy]],"mmm-yyyy"))</f>
        <v/>
      </c>
      <c r="N114" s="21" t="str">
        <f>IF(data_entry[[#This Row],[تاريخ التغذية الراجعة
mm/dd/yyyy]]="","",TEXT(data_entry[[#This Row],[تاريخ التغذية الراجعة
mm/dd/yyyy]],"mmm-yy"))</f>
        <v/>
      </c>
    </row>
    <row r="115" spans="1:14" ht="20" customHeight="1" x14ac:dyDescent="0.35">
      <c r="A115" s="3">
        <v>113</v>
      </c>
      <c r="E115" s="3" t="str">
        <f>IF(data_entry[[#This Row],[تاريخ الشكوي
mm/dd/yyyy]]="","",IF(data_entry[[#This Row],[تاريخ الحل
mm/dd/yyyy]]="","جاري الحل","تم الحل"))</f>
        <v/>
      </c>
      <c r="I115" s="3" t="str">
        <f t="shared" si="1"/>
        <v/>
      </c>
      <c r="J115" s="3" t="str">
        <f>IF(data_entry[[#This Row],[زمن الحل(يوم)]]="", "", IF(data_entry[[#This Row],[زمن الحل(يوم)]]&lt;=3, IF(data_entry[[#This Row],[زمن الحل(يوم)]]&gt;0, "نعم", "لا"), "لا"))</f>
        <v/>
      </c>
      <c r="K11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5" s="11" t="str">
        <f>IF(data_entry[[#This Row],[تاريخ الشكوي
mm/dd/yyyy]]="","",TEXT(data_entry[[#This Row],[تاريخ الشكوي
mm/dd/yyyy]],"mmm-yyyy"))</f>
        <v/>
      </c>
      <c r="M115" s="5" t="str">
        <f>IF(data_entry[[#This Row],[تاريخ الحل
mm/dd/yyyy]]="","",TEXT(data_entry[[#This Row],[تاريخ الحل
mm/dd/yyyy]],"mmm-yyyy"))</f>
        <v/>
      </c>
      <c r="N115" s="21" t="str">
        <f>IF(data_entry[[#This Row],[تاريخ التغذية الراجعة
mm/dd/yyyy]]="","",TEXT(data_entry[[#This Row],[تاريخ التغذية الراجعة
mm/dd/yyyy]],"mmm-yy"))</f>
        <v/>
      </c>
    </row>
    <row r="116" spans="1:14" ht="20" customHeight="1" x14ac:dyDescent="0.35">
      <c r="A116" s="3">
        <v>114</v>
      </c>
      <c r="E116" s="3" t="str">
        <f>IF(data_entry[[#This Row],[تاريخ الشكوي
mm/dd/yyyy]]="","",IF(data_entry[[#This Row],[تاريخ الحل
mm/dd/yyyy]]="","جاري الحل","تم الحل"))</f>
        <v/>
      </c>
      <c r="I116" s="3" t="str">
        <f t="shared" si="1"/>
        <v/>
      </c>
      <c r="J116" s="3" t="str">
        <f>IF(data_entry[[#This Row],[زمن الحل(يوم)]]="", "", IF(data_entry[[#This Row],[زمن الحل(يوم)]]&lt;=3, IF(data_entry[[#This Row],[زمن الحل(يوم)]]&gt;0, "نعم", "لا"), "لا"))</f>
        <v/>
      </c>
      <c r="K11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6" s="11" t="str">
        <f>IF(data_entry[[#This Row],[تاريخ الشكوي
mm/dd/yyyy]]="","",TEXT(data_entry[[#This Row],[تاريخ الشكوي
mm/dd/yyyy]],"mmm-yyyy"))</f>
        <v/>
      </c>
      <c r="M116" s="5" t="str">
        <f>IF(data_entry[[#This Row],[تاريخ الحل
mm/dd/yyyy]]="","",TEXT(data_entry[[#This Row],[تاريخ الحل
mm/dd/yyyy]],"mmm-yyyy"))</f>
        <v/>
      </c>
      <c r="N116" s="21" t="str">
        <f>IF(data_entry[[#This Row],[تاريخ التغذية الراجعة
mm/dd/yyyy]]="","",TEXT(data_entry[[#This Row],[تاريخ التغذية الراجعة
mm/dd/yyyy]],"mmm-yy"))</f>
        <v/>
      </c>
    </row>
    <row r="117" spans="1:14" ht="20" customHeight="1" x14ac:dyDescent="0.35">
      <c r="A117" s="3">
        <v>115</v>
      </c>
      <c r="E117" s="3" t="str">
        <f>IF(data_entry[[#This Row],[تاريخ الشكوي
mm/dd/yyyy]]="","",IF(data_entry[[#This Row],[تاريخ الحل
mm/dd/yyyy]]="","جاري الحل","تم الحل"))</f>
        <v/>
      </c>
      <c r="I117" s="3" t="str">
        <f t="shared" si="1"/>
        <v/>
      </c>
      <c r="J117" s="3" t="str">
        <f>IF(data_entry[[#This Row],[زمن الحل(يوم)]]="", "", IF(data_entry[[#This Row],[زمن الحل(يوم)]]&lt;=3, IF(data_entry[[#This Row],[زمن الحل(يوم)]]&gt;0, "نعم", "لا"), "لا"))</f>
        <v/>
      </c>
      <c r="K11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7" s="11" t="str">
        <f>IF(data_entry[[#This Row],[تاريخ الشكوي
mm/dd/yyyy]]="","",TEXT(data_entry[[#This Row],[تاريخ الشكوي
mm/dd/yyyy]],"mmm-yyyy"))</f>
        <v/>
      </c>
      <c r="M117" s="5" t="str">
        <f>IF(data_entry[[#This Row],[تاريخ الحل
mm/dd/yyyy]]="","",TEXT(data_entry[[#This Row],[تاريخ الحل
mm/dd/yyyy]],"mmm-yyyy"))</f>
        <v/>
      </c>
      <c r="N117" s="21" t="str">
        <f>IF(data_entry[[#This Row],[تاريخ التغذية الراجعة
mm/dd/yyyy]]="","",TEXT(data_entry[[#This Row],[تاريخ التغذية الراجعة
mm/dd/yyyy]],"mmm-yy"))</f>
        <v/>
      </c>
    </row>
    <row r="118" spans="1:14" ht="20" customHeight="1" x14ac:dyDescent="0.35">
      <c r="A118" s="3">
        <v>116</v>
      </c>
      <c r="E118" s="3" t="str">
        <f>IF(data_entry[[#This Row],[تاريخ الشكوي
mm/dd/yyyy]]="","",IF(data_entry[[#This Row],[تاريخ الحل
mm/dd/yyyy]]="","جاري الحل","تم الحل"))</f>
        <v/>
      </c>
      <c r="I118" s="3" t="str">
        <f t="shared" si="1"/>
        <v/>
      </c>
      <c r="J118" s="3" t="str">
        <f>IF(data_entry[[#This Row],[زمن الحل(يوم)]]="", "", IF(data_entry[[#This Row],[زمن الحل(يوم)]]&lt;=3, IF(data_entry[[#This Row],[زمن الحل(يوم)]]&gt;0, "نعم", "لا"), "لا"))</f>
        <v/>
      </c>
      <c r="K11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8" s="11" t="str">
        <f>IF(data_entry[[#This Row],[تاريخ الشكوي
mm/dd/yyyy]]="","",TEXT(data_entry[[#This Row],[تاريخ الشكوي
mm/dd/yyyy]],"mmm-yyyy"))</f>
        <v/>
      </c>
      <c r="M118" s="5" t="str">
        <f>IF(data_entry[[#This Row],[تاريخ الحل
mm/dd/yyyy]]="","",TEXT(data_entry[[#This Row],[تاريخ الحل
mm/dd/yyyy]],"mmm-yyyy"))</f>
        <v/>
      </c>
      <c r="N118" s="21" t="str">
        <f>IF(data_entry[[#This Row],[تاريخ التغذية الراجعة
mm/dd/yyyy]]="","",TEXT(data_entry[[#This Row],[تاريخ التغذية الراجعة
mm/dd/yyyy]],"mmm-yy"))</f>
        <v/>
      </c>
    </row>
    <row r="119" spans="1:14" ht="20" customHeight="1" x14ac:dyDescent="0.35">
      <c r="A119" s="3">
        <v>117</v>
      </c>
      <c r="E119" s="3" t="str">
        <f>IF(data_entry[[#This Row],[تاريخ الشكوي
mm/dd/yyyy]]="","",IF(data_entry[[#This Row],[تاريخ الحل
mm/dd/yyyy]]="","جاري الحل","تم الحل"))</f>
        <v/>
      </c>
      <c r="I119" s="3" t="str">
        <f t="shared" si="1"/>
        <v/>
      </c>
      <c r="J119" s="3" t="str">
        <f>IF(data_entry[[#This Row],[زمن الحل(يوم)]]="", "", IF(data_entry[[#This Row],[زمن الحل(يوم)]]&lt;=3, IF(data_entry[[#This Row],[زمن الحل(يوم)]]&gt;0, "نعم", "لا"), "لا"))</f>
        <v/>
      </c>
      <c r="K11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19" s="11" t="str">
        <f>IF(data_entry[[#This Row],[تاريخ الشكوي
mm/dd/yyyy]]="","",TEXT(data_entry[[#This Row],[تاريخ الشكوي
mm/dd/yyyy]],"mmm-yyyy"))</f>
        <v/>
      </c>
      <c r="M119" s="5" t="str">
        <f>IF(data_entry[[#This Row],[تاريخ الحل
mm/dd/yyyy]]="","",TEXT(data_entry[[#This Row],[تاريخ الحل
mm/dd/yyyy]],"mmm-yyyy"))</f>
        <v/>
      </c>
      <c r="N119" s="21" t="str">
        <f>IF(data_entry[[#This Row],[تاريخ التغذية الراجعة
mm/dd/yyyy]]="","",TEXT(data_entry[[#This Row],[تاريخ التغذية الراجعة
mm/dd/yyyy]],"mmm-yy"))</f>
        <v/>
      </c>
    </row>
    <row r="120" spans="1:14" ht="20" customHeight="1" x14ac:dyDescent="0.35">
      <c r="A120" s="3">
        <v>118</v>
      </c>
      <c r="E120" s="3" t="str">
        <f>IF(data_entry[[#This Row],[تاريخ الشكوي
mm/dd/yyyy]]="","",IF(data_entry[[#This Row],[تاريخ الحل
mm/dd/yyyy]]="","جاري الحل","تم الحل"))</f>
        <v/>
      </c>
      <c r="I120" s="3" t="str">
        <f t="shared" si="1"/>
        <v/>
      </c>
      <c r="J120" s="3" t="str">
        <f>IF(data_entry[[#This Row],[زمن الحل(يوم)]]="", "", IF(data_entry[[#This Row],[زمن الحل(يوم)]]&lt;=3, IF(data_entry[[#This Row],[زمن الحل(يوم)]]&gt;0, "نعم", "لا"), "لا"))</f>
        <v/>
      </c>
      <c r="K12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0" s="11" t="str">
        <f>IF(data_entry[[#This Row],[تاريخ الشكوي
mm/dd/yyyy]]="","",TEXT(data_entry[[#This Row],[تاريخ الشكوي
mm/dd/yyyy]],"mmm-yyyy"))</f>
        <v/>
      </c>
      <c r="M120" s="5" t="str">
        <f>IF(data_entry[[#This Row],[تاريخ الحل
mm/dd/yyyy]]="","",TEXT(data_entry[[#This Row],[تاريخ الحل
mm/dd/yyyy]],"mmm-yyyy"))</f>
        <v/>
      </c>
      <c r="N120" s="21" t="str">
        <f>IF(data_entry[[#This Row],[تاريخ التغذية الراجعة
mm/dd/yyyy]]="","",TEXT(data_entry[[#This Row],[تاريخ التغذية الراجعة
mm/dd/yyyy]],"mmm-yy"))</f>
        <v/>
      </c>
    </row>
    <row r="121" spans="1:14" ht="20" customHeight="1" x14ac:dyDescent="0.35">
      <c r="A121" s="3">
        <v>119</v>
      </c>
      <c r="E121" s="3" t="str">
        <f>IF(data_entry[[#This Row],[تاريخ الشكوي
mm/dd/yyyy]]="","",IF(data_entry[[#This Row],[تاريخ الحل
mm/dd/yyyy]]="","جاري الحل","تم الحل"))</f>
        <v/>
      </c>
      <c r="I121" s="3" t="str">
        <f t="shared" si="1"/>
        <v/>
      </c>
      <c r="J121" s="3" t="str">
        <f>IF(data_entry[[#This Row],[زمن الحل(يوم)]]="", "", IF(data_entry[[#This Row],[زمن الحل(يوم)]]&lt;=3, IF(data_entry[[#This Row],[زمن الحل(يوم)]]&gt;0, "نعم", "لا"), "لا"))</f>
        <v/>
      </c>
      <c r="K12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1" s="11" t="str">
        <f>IF(data_entry[[#This Row],[تاريخ الشكوي
mm/dd/yyyy]]="","",TEXT(data_entry[[#This Row],[تاريخ الشكوي
mm/dd/yyyy]],"mmm-yyyy"))</f>
        <v/>
      </c>
      <c r="M121" s="5" t="str">
        <f>IF(data_entry[[#This Row],[تاريخ الحل
mm/dd/yyyy]]="","",TEXT(data_entry[[#This Row],[تاريخ الحل
mm/dd/yyyy]],"mmm-yyyy"))</f>
        <v/>
      </c>
      <c r="N121" s="21" t="str">
        <f>IF(data_entry[[#This Row],[تاريخ التغذية الراجعة
mm/dd/yyyy]]="","",TEXT(data_entry[[#This Row],[تاريخ التغذية الراجعة
mm/dd/yyyy]],"mmm-yy"))</f>
        <v/>
      </c>
    </row>
    <row r="122" spans="1:14" ht="20" customHeight="1" x14ac:dyDescent="0.35">
      <c r="A122" s="3">
        <v>120</v>
      </c>
      <c r="E122" s="3" t="str">
        <f>IF(data_entry[[#This Row],[تاريخ الشكوي
mm/dd/yyyy]]="","",IF(data_entry[[#This Row],[تاريخ الحل
mm/dd/yyyy]]="","جاري الحل","تم الحل"))</f>
        <v/>
      </c>
      <c r="I122" s="3" t="str">
        <f t="shared" si="1"/>
        <v/>
      </c>
      <c r="J122" s="3" t="str">
        <f>IF(data_entry[[#This Row],[زمن الحل(يوم)]]="", "", IF(data_entry[[#This Row],[زمن الحل(يوم)]]&lt;=3, IF(data_entry[[#This Row],[زمن الحل(يوم)]]&gt;0, "نعم", "لا"), "لا"))</f>
        <v/>
      </c>
      <c r="K12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2" s="11" t="str">
        <f>IF(data_entry[[#This Row],[تاريخ الشكوي
mm/dd/yyyy]]="","",TEXT(data_entry[[#This Row],[تاريخ الشكوي
mm/dd/yyyy]],"mmm-yyyy"))</f>
        <v/>
      </c>
      <c r="M122" s="5" t="str">
        <f>IF(data_entry[[#This Row],[تاريخ الحل
mm/dd/yyyy]]="","",TEXT(data_entry[[#This Row],[تاريخ الحل
mm/dd/yyyy]],"mmm-yyyy"))</f>
        <v/>
      </c>
      <c r="N122" s="21" t="str">
        <f>IF(data_entry[[#This Row],[تاريخ التغذية الراجعة
mm/dd/yyyy]]="","",TEXT(data_entry[[#This Row],[تاريخ التغذية الراجعة
mm/dd/yyyy]],"mmm-yy"))</f>
        <v/>
      </c>
    </row>
    <row r="123" spans="1:14" ht="20" customHeight="1" x14ac:dyDescent="0.35">
      <c r="A123" s="3">
        <v>121</v>
      </c>
      <c r="E123" s="3" t="str">
        <f>IF(data_entry[[#This Row],[تاريخ الشكوي
mm/dd/yyyy]]="","",IF(data_entry[[#This Row],[تاريخ الحل
mm/dd/yyyy]]="","جاري الحل","تم الحل"))</f>
        <v/>
      </c>
      <c r="I123" s="3" t="str">
        <f t="shared" si="1"/>
        <v/>
      </c>
      <c r="J123" s="3" t="str">
        <f>IF(data_entry[[#This Row],[زمن الحل(يوم)]]="", "", IF(data_entry[[#This Row],[زمن الحل(يوم)]]&lt;=3, IF(data_entry[[#This Row],[زمن الحل(يوم)]]&gt;0, "نعم", "لا"), "لا"))</f>
        <v/>
      </c>
      <c r="K12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3" s="11" t="str">
        <f>IF(data_entry[[#This Row],[تاريخ الشكوي
mm/dd/yyyy]]="","",TEXT(data_entry[[#This Row],[تاريخ الشكوي
mm/dd/yyyy]],"mmm-yyyy"))</f>
        <v/>
      </c>
      <c r="M123" s="5" t="str">
        <f>IF(data_entry[[#This Row],[تاريخ الحل
mm/dd/yyyy]]="","",TEXT(data_entry[[#This Row],[تاريخ الحل
mm/dd/yyyy]],"mmm-yyyy"))</f>
        <v/>
      </c>
      <c r="N123" s="21" t="str">
        <f>IF(data_entry[[#This Row],[تاريخ التغذية الراجعة
mm/dd/yyyy]]="","",TEXT(data_entry[[#This Row],[تاريخ التغذية الراجعة
mm/dd/yyyy]],"mmm-yy"))</f>
        <v/>
      </c>
    </row>
    <row r="124" spans="1:14" ht="20" customHeight="1" x14ac:dyDescent="0.35">
      <c r="A124" s="3">
        <v>122</v>
      </c>
      <c r="E124" s="3" t="str">
        <f>IF(data_entry[[#This Row],[تاريخ الشكوي
mm/dd/yyyy]]="","",IF(data_entry[[#This Row],[تاريخ الحل
mm/dd/yyyy]]="","جاري الحل","تم الحل"))</f>
        <v/>
      </c>
      <c r="I124" s="3" t="str">
        <f t="shared" si="1"/>
        <v/>
      </c>
      <c r="J124" s="3" t="str">
        <f>IF(data_entry[[#This Row],[زمن الحل(يوم)]]="", "", IF(data_entry[[#This Row],[زمن الحل(يوم)]]&lt;=3, IF(data_entry[[#This Row],[زمن الحل(يوم)]]&gt;0, "نعم", "لا"), "لا"))</f>
        <v/>
      </c>
      <c r="K12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4" s="11" t="str">
        <f>IF(data_entry[[#This Row],[تاريخ الشكوي
mm/dd/yyyy]]="","",TEXT(data_entry[[#This Row],[تاريخ الشكوي
mm/dd/yyyy]],"mmm-yyyy"))</f>
        <v/>
      </c>
      <c r="M124" s="5" t="str">
        <f>IF(data_entry[[#This Row],[تاريخ الحل
mm/dd/yyyy]]="","",TEXT(data_entry[[#This Row],[تاريخ الحل
mm/dd/yyyy]],"mmm-yyyy"))</f>
        <v/>
      </c>
      <c r="N124" s="21" t="str">
        <f>IF(data_entry[[#This Row],[تاريخ التغذية الراجعة
mm/dd/yyyy]]="","",TEXT(data_entry[[#This Row],[تاريخ التغذية الراجعة
mm/dd/yyyy]],"mmm-yy"))</f>
        <v/>
      </c>
    </row>
    <row r="125" spans="1:14" ht="20" customHeight="1" x14ac:dyDescent="0.35">
      <c r="A125" s="3">
        <v>123</v>
      </c>
      <c r="E125" s="3" t="str">
        <f>IF(data_entry[[#This Row],[تاريخ الشكوي
mm/dd/yyyy]]="","",IF(data_entry[[#This Row],[تاريخ الحل
mm/dd/yyyy]]="","جاري الحل","تم الحل"))</f>
        <v/>
      </c>
      <c r="I125" s="3" t="str">
        <f t="shared" si="1"/>
        <v/>
      </c>
      <c r="J125" s="3" t="str">
        <f>IF(data_entry[[#This Row],[زمن الحل(يوم)]]="", "", IF(data_entry[[#This Row],[زمن الحل(يوم)]]&lt;=3, IF(data_entry[[#This Row],[زمن الحل(يوم)]]&gt;0, "نعم", "لا"), "لا"))</f>
        <v/>
      </c>
      <c r="K12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5" s="11" t="str">
        <f>IF(data_entry[[#This Row],[تاريخ الشكوي
mm/dd/yyyy]]="","",TEXT(data_entry[[#This Row],[تاريخ الشكوي
mm/dd/yyyy]],"mmm-yyyy"))</f>
        <v/>
      </c>
      <c r="M125" s="5" t="str">
        <f>IF(data_entry[[#This Row],[تاريخ الحل
mm/dd/yyyy]]="","",TEXT(data_entry[[#This Row],[تاريخ الحل
mm/dd/yyyy]],"mmm-yyyy"))</f>
        <v/>
      </c>
      <c r="N125" s="21" t="str">
        <f>IF(data_entry[[#This Row],[تاريخ التغذية الراجعة
mm/dd/yyyy]]="","",TEXT(data_entry[[#This Row],[تاريخ التغذية الراجعة
mm/dd/yyyy]],"mmm-yy"))</f>
        <v/>
      </c>
    </row>
    <row r="126" spans="1:14" ht="20" customHeight="1" x14ac:dyDescent="0.35">
      <c r="A126" s="3">
        <v>124</v>
      </c>
      <c r="E126" s="3" t="str">
        <f>IF(data_entry[[#This Row],[تاريخ الشكوي
mm/dd/yyyy]]="","",IF(data_entry[[#This Row],[تاريخ الحل
mm/dd/yyyy]]="","جاري الحل","تم الحل"))</f>
        <v/>
      </c>
      <c r="I126" s="3" t="str">
        <f t="shared" si="1"/>
        <v/>
      </c>
      <c r="J126" s="3" t="str">
        <f>IF(data_entry[[#This Row],[زمن الحل(يوم)]]="", "", IF(data_entry[[#This Row],[زمن الحل(يوم)]]&lt;=3, IF(data_entry[[#This Row],[زمن الحل(يوم)]]&gt;0, "نعم", "لا"), "لا"))</f>
        <v/>
      </c>
      <c r="K12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6" s="11" t="str">
        <f>IF(data_entry[[#This Row],[تاريخ الشكوي
mm/dd/yyyy]]="","",TEXT(data_entry[[#This Row],[تاريخ الشكوي
mm/dd/yyyy]],"mmm-yyyy"))</f>
        <v/>
      </c>
      <c r="M126" s="5" t="str">
        <f>IF(data_entry[[#This Row],[تاريخ الحل
mm/dd/yyyy]]="","",TEXT(data_entry[[#This Row],[تاريخ الحل
mm/dd/yyyy]],"mmm-yyyy"))</f>
        <v/>
      </c>
      <c r="N126" s="21" t="str">
        <f>IF(data_entry[[#This Row],[تاريخ التغذية الراجعة
mm/dd/yyyy]]="","",TEXT(data_entry[[#This Row],[تاريخ التغذية الراجعة
mm/dd/yyyy]],"mmm-yy"))</f>
        <v/>
      </c>
    </row>
    <row r="127" spans="1:14" ht="20" customHeight="1" x14ac:dyDescent="0.35">
      <c r="A127" s="3">
        <v>125</v>
      </c>
      <c r="E127" s="3" t="str">
        <f>IF(data_entry[[#This Row],[تاريخ الشكوي
mm/dd/yyyy]]="","",IF(data_entry[[#This Row],[تاريخ الحل
mm/dd/yyyy]]="","جاري الحل","تم الحل"))</f>
        <v/>
      </c>
      <c r="I127" s="3" t="str">
        <f t="shared" si="1"/>
        <v/>
      </c>
      <c r="J127" s="3" t="str">
        <f>IF(data_entry[[#This Row],[زمن الحل(يوم)]]="", "", IF(data_entry[[#This Row],[زمن الحل(يوم)]]&lt;=3, IF(data_entry[[#This Row],[زمن الحل(يوم)]]&gt;0, "نعم", "لا"), "لا"))</f>
        <v/>
      </c>
      <c r="K12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7" s="11" t="str">
        <f>IF(data_entry[[#This Row],[تاريخ الشكوي
mm/dd/yyyy]]="","",TEXT(data_entry[[#This Row],[تاريخ الشكوي
mm/dd/yyyy]],"mmm-yyyy"))</f>
        <v/>
      </c>
      <c r="M127" s="5" t="str">
        <f>IF(data_entry[[#This Row],[تاريخ الحل
mm/dd/yyyy]]="","",TEXT(data_entry[[#This Row],[تاريخ الحل
mm/dd/yyyy]],"mmm-yyyy"))</f>
        <v/>
      </c>
      <c r="N127" s="21" t="str">
        <f>IF(data_entry[[#This Row],[تاريخ التغذية الراجعة
mm/dd/yyyy]]="","",TEXT(data_entry[[#This Row],[تاريخ التغذية الراجعة
mm/dd/yyyy]],"mmm-yy"))</f>
        <v/>
      </c>
    </row>
    <row r="128" spans="1:14" ht="20" customHeight="1" x14ac:dyDescent="0.35">
      <c r="A128" s="3">
        <v>126</v>
      </c>
      <c r="E128" s="3" t="str">
        <f>IF(data_entry[[#This Row],[تاريخ الشكوي
mm/dd/yyyy]]="","",IF(data_entry[[#This Row],[تاريخ الحل
mm/dd/yyyy]]="","جاري الحل","تم الحل"))</f>
        <v/>
      </c>
      <c r="I128" s="3" t="str">
        <f t="shared" si="1"/>
        <v/>
      </c>
      <c r="J128" s="3" t="str">
        <f>IF(data_entry[[#This Row],[زمن الحل(يوم)]]="", "", IF(data_entry[[#This Row],[زمن الحل(يوم)]]&lt;=3, IF(data_entry[[#This Row],[زمن الحل(يوم)]]&gt;0, "نعم", "لا"), "لا"))</f>
        <v/>
      </c>
      <c r="K12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8" s="11" t="str">
        <f>IF(data_entry[[#This Row],[تاريخ الشكوي
mm/dd/yyyy]]="","",TEXT(data_entry[[#This Row],[تاريخ الشكوي
mm/dd/yyyy]],"mmm-yyyy"))</f>
        <v/>
      </c>
      <c r="M128" s="5" t="str">
        <f>IF(data_entry[[#This Row],[تاريخ الحل
mm/dd/yyyy]]="","",TEXT(data_entry[[#This Row],[تاريخ الحل
mm/dd/yyyy]],"mmm-yyyy"))</f>
        <v/>
      </c>
      <c r="N128" s="21" t="str">
        <f>IF(data_entry[[#This Row],[تاريخ التغذية الراجعة
mm/dd/yyyy]]="","",TEXT(data_entry[[#This Row],[تاريخ التغذية الراجعة
mm/dd/yyyy]],"mmm-yy"))</f>
        <v/>
      </c>
    </row>
    <row r="129" spans="1:14" ht="20" customHeight="1" x14ac:dyDescent="0.35">
      <c r="A129" s="3">
        <v>127</v>
      </c>
      <c r="E129" s="3" t="str">
        <f>IF(data_entry[[#This Row],[تاريخ الشكوي
mm/dd/yyyy]]="","",IF(data_entry[[#This Row],[تاريخ الحل
mm/dd/yyyy]]="","جاري الحل","تم الحل"))</f>
        <v/>
      </c>
      <c r="I129" s="3" t="str">
        <f t="shared" si="1"/>
        <v/>
      </c>
      <c r="J129" s="3" t="str">
        <f>IF(data_entry[[#This Row],[زمن الحل(يوم)]]="", "", IF(data_entry[[#This Row],[زمن الحل(يوم)]]&lt;=3, IF(data_entry[[#This Row],[زمن الحل(يوم)]]&gt;0, "نعم", "لا"), "لا"))</f>
        <v/>
      </c>
      <c r="K12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29" s="11" t="str">
        <f>IF(data_entry[[#This Row],[تاريخ الشكوي
mm/dd/yyyy]]="","",TEXT(data_entry[[#This Row],[تاريخ الشكوي
mm/dd/yyyy]],"mmm-yyyy"))</f>
        <v/>
      </c>
      <c r="M129" s="5" t="str">
        <f>IF(data_entry[[#This Row],[تاريخ الحل
mm/dd/yyyy]]="","",TEXT(data_entry[[#This Row],[تاريخ الحل
mm/dd/yyyy]],"mmm-yyyy"))</f>
        <v/>
      </c>
      <c r="N129" s="21" t="str">
        <f>IF(data_entry[[#This Row],[تاريخ التغذية الراجعة
mm/dd/yyyy]]="","",TEXT(data_entry[[#This Row],[تاريخ التغذية الراجعة
mm/dd/yyyy]],"mmm-yy"))</f>
        <v/>
      </c>
    </row>
    <row r="130" spans="1:14" ht="20" customHeight="1" x14ac:dyDescent="0.35">
      <c r="A130" s="3">
        <v>128</v>
      </c>
      <c r="E130" s="3" t="str">
        <f>IF(data_entry[[#This Row],[تاريخ الشكوي
mm/dd/yyyy]]="","",IF(data_entry[[#This Row],[تاريخ الحل
mm/dd/yyyy]]="","جاري الحل","تم الحل"))</f>
        <v/>
      </c>
      <c r="I130" s="3" t="str">
        <f t="shared" si="1"/>
        <v/>
      </c>
      <c r="J130" s="3" t="str">
        <f>IF(data_entry[[#This Row],[زمن الحل(يوم)]]="", "", IF(data_entry[[#This Row],[زمن الحل(يوم)]]&lt;=3, IF(data_entry[[#This Row],[زمن الحل(يوم)]]&gt;0, "نعم", "لا"), "لا"))</f>
        <v/>
      </c>
      <c r="K13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0" s="11" t="str">
        <f>IF(data_entry[[#This Row],[تاريخ الشكوي
mm/dd/yyyy]]="","",TEXT(data_entry[[#This Row],[تاريخ الشكوي
mm/dd/yyyy]],"mmm-yyyy"))</f>
        <v/>
      </c>
      <c r="M130" s="5" t="str">
        <f>IF(data_entry[[#This Row],[تاريخ الحل
mm/dd/yyyy]]="","",TEXT(data_entry[[#This Row],[تاريخ الحل
mm/dd/yyyy]],"mmm-yyyy"))</f>
        <v/>
      </c>
      <c r="N130" s="21" t="str">
        <f>IF(data_entry[[#This Row],[تاريخ التغذية الراجعة
mm/dd/yyyy]]="","",TEXT(data_entry[[#This Row],[تاريخ التغذية الراجعة
mm/dd/yyyy]],"mmm-yy"))</f>
        <v/>
      </c>
    </row>
    <row r="131" spans="1:14" ht="20" customHeight="1" x14ac:dyDescent="0.35">
      <c r="A131" s="3">
        <v>129</v>
      </c>
      <c r="E131" s="3" t="str">
        <f>IF(data_entry[[#This Row],[تاريخ الشكوي
mm/dd/yyyy]]="","",IF(data_entry[[#This Row],[تاريخ الحل
mm/dd/yyyy]]="","جاري الحل","تم الحل"))</f>
        <v/>
      </c>
      <c r="I131" s="3" t="str">
        <f t="shared" si="1"/>
        <v/>
      </c>
      <c r="J131" s="3" t="str">
        <f>IF(data_entry[[#This Row],[زمن الحل(يوم)]]="", "", IF(data_entry[[#This Row],[زمن الحل(يوم)]]&lt;=3, IF(data_entry[[#This Row],[زمن الحل(يوم)]]&gt;0, "نعم", "لا"), "لا"))</f>
        <v/>
      </c>
      <c r="K13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1" s="11" t="str">
        <f>IF(data_entry[[#This Row],[تاريخ الشكوي
mm/dd/yyyy]]="","",TEXT(data_entry[[#This Row],[تاريخ الشكوي
mm/dd/yyyy]],"mmm-yyyy"))</f>
        <v/>
      </c>
      <c r="M131" s="5" t="str">
        <f>IF(data_entry[[#This Row],[تاريخ الحل
mm/dd/yyyy]]="","",TEXT(data_entry[[#This Row],[تاريخ الحل
mm/dd/yyyy]],"mmm-yyyy"))</f>
        <v/>
      </c>
      <c r="N131" s="21" t="str">
        <f>IF(data_entry[[#This Row],[تاريخ التغذية الراجعة
mm/dd/yyyy]]="","",TEXT(data_entry[[#This Row],[تاريخ التغذية الراجعة
mm/dd/yyyy]],"mmm-yy"))</f>
        <v/>
      </c>
    </row>
    <row r="132" spans="1:14" ht="20" customHeight="1" x14ac:dyDescent="0.35">
      <c r="A132" s="3">
        <v>130</v>
      </c>
      <c r="E132" s="3" t="str">
        <f>IF(data_entry[[#This Row],[تاريخ الشكوي
mm/dd/yyyy]]="","",IF(data_entry[[#This Row],[تاريخ الحل
mm/dd/yyyy]]="","جاري الحل","تم الحل"))</f>
        <v/>
      </c>
      <c r="I132" s="3" t="str">
        <f t="shared" ref="I132:I195" si="2">IF(K132="","",IF(K132=0,"نعم","لا"))</f>
        <v/>
      </c>
      <c r="J132" s="3" t="str">
        <f>IF(data_entry[[#This Row],[زمن الحل(يوم)]]="", "", IF(data_entry[[#This Row],[زمن الحل(يوم)]]&lt;=3, IF(data_entry[[#This Row],[زمن الحل(يوم)]]&gt;0, "نعم", "لا"), "لا"))</f>
        <v/>
      </c>
      <c r="K13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2" s="11" t="str">
        <f>IF(data_entry[[#This Row],[تاريخ الشكوي
mm/dd/yyyy]]="","",TEXT(data_entry[[#This Row],[تاريخ الشكوي
mm/dd/yyyy]],"mmm-yyyy"))</f>
        <v/>
      </c>
      <c r="M132" s="5" t="str">
        <f>IF(data_entry[[#This Row],[تاريخ الحل
mm/dd/yyyy]]="","",TEXT(data_entry[[#This Row],[تاريخ الحل
mm/dd/yyyy]],"mmm-yyyy"))</f>
        <v/>
      </c>
      <c r="N132" s="21" t="str">
        <f>IF(data_entry[[#This Row],[تاريخ التغذية الراجعة
mm/dd/yyyy]]="","",TEXT(data_entry[[#This Row],[تاريخ التغذية الراجعة
mm/dd/yyyy]],"mmm-yy"))</f>
        <v/>
      </c>
    </row>
    <row r="133" spans="1:14" ht="20" customHeight="1" x14ac:dyDescent="0.35">
      <c r="A133" s="3">
        <v>131</v>
      </c>
      <c r="E133" s="3" t="str">
        <f>IF(data_entry[[#This Row],[تاريخ الشكوي
mm/dd/yyyy]]="","",IF(data_entry[[#This Row],[تاريخ الحل
mm/dd/yyyy]]="","جاري الحل","تم الحل"))</f>
        <v/>
      </c>
      <c r="I133" s="3" t="str">
        <f t="shared" si="2"/>
        <v/>
      </c>
      <c r="J133" s="3" t="str">
        <f>IF(data_entry[[#This Row],[زمن الحل(يوم)]]="", "", IF(data_entry[[#This Row],[زمن الحل(يوم)]]&lt;=3, IF(data_entry[[#This Row],[زمن الحل(يوم)]]&gt;0, "نعم", "لا"), "لا"))</f>
        <v/>
      </c>
      <c r="K13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3" s="11" t="str">
        <f>IF(data_entry[[#This Row],[تاريخ الشكوي
mm/dd/yyyy]]="","",TEXT(data_entry[[#This Row],[تاريخ الشكوي
mm/dd/yyyy]],"mmm-yyyy"))</f>
        <v/>
      </c>
      <c r="M133" s="5" t="str">
        <f>IF(data_entry[[#This Row],[تاريخ الحل
mm/dd/yyyy]]="","",TEXT(data_entry[[#This Row],[تاريخ الحل
mm/dd/yyyy]],"mmm-yyyy"))</f>
        <v/>
      </c>
      <c r="N133" s="21" t="str">
        <f>IF(data_entry[[#This Row],[تاريخ التغذية الراجعة
mm/dd/yyyy]]="","",TEXT(data_entry[[#This Row],[تاريخ التغذية الراجعة
mm/dd/yyyy]],"mmm-yy"))</f>
        <v/>
      </c>
    </row>
    <row r="134" spans="1:14" ht="20" customHeight="1" x14ac:dyDescent="0.35">
      <c r="A134" s="3">
        <v>132</v>
      </c>
      <c r="E134" s="3" t="str">
        <f>IF(data_entry[[#This Row],[تاريخ الشكوي
mm/dd/yyyy]]="","",IF(data_entry[[#This Row],[تاريخ الحل
mm/dd/yyyy]]="","جاري الحل","تم الحل"))</f>
        <v/>
      </c>
      <c r="I134" s="3" t="str">
        <f t="shared" si="2"/>
        <v/>
      </c>
      <c r="J134" s="3" t="str">
        <f>IF(data_entry[[#This Row],[زمن الحل(يوم)]]="", "", IF(data_entry[[#This Row],[زمن الحل(يوم)]]&lt;=3, IF(data_entry[[#This Row],[زمن الحل(يوم)]]&gt;0, "نعم", "لا"), "لا"))</f>
        <v/>
      </c>
      <c r="K13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4" s="11" t="str">
        <f>IF(data_entry[[#This Row],[تاريخ الشكوي
mm/dd/yyyy]]="","",TEXT(data_entry[[#This Row],[تاريخ الشكوي
mm/dd/yyyy]],"mmm-yyyy"))</f>
        <v/>
      </c>
      <c r="M134" s="5" t="str">
        <f>IF(data_entry[[#This Row],[تاريخ الحل
mm/dd/yyyy]]="","",TEXT(data_entry[[#This Row],[تاريخ الحل
mm/dd/yyyy]],"mmm-yyyy"))</f>
        <v/>
      </c>
      <c r="N134" s="21" t="str">
        <f>IF(data_entry[[#This Row],[تاريخ التغذية الراجعة
mm/dd/yyyy]]="","",TEXT(data_entry[[#This Row],[تاريخ التغذية الراجعة
mm/dd/yyyy]],"mmm-yy"))</f>
        <v/>
      </c>
    </row>
    <row r="135" spans="1:14" ht="20" customHeight="1" x14ac:dyDescent="0.35">
      <c r="A135" s="3">
        <v>133</v>
      </c>
      <c r="E135" s="3" t="str">
        <f>IF(data_entry[[#This Row],[تاريخ الشكوي
mm/dd/yyyy]]="","",IF(data_entry[[#This Row],[تاريخ الحل
mm/dd/yyyy]]="","جاري الحل","تم الحل"))</f>
        <v/>
      </c>
      <c r="I135" s="3" t="str">
        <f t="shared" si="2"/>
        <v/>
      </c>
      <c r="J135" s="3" t="str">
        <f>IF(data_entry[[#This Row],[زمن الحل(يوم)]]="", "", IF(data_entry[[#This Row],[زمن الحل(يوم)]]&lt;=3, IF(data_entry[[#This Row],[زمن الحل(يوم)]]&gt;0, "نعم", "لا"), "لا"))</f>
        <v/>
      </c>
      <c r="K13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5" s="11" t="str">
        <f>IF(data_entry[[#This Row],[تاريخ الشكوي
mm/dd/yyyy]]="","",TEXT(data_entry[[#This Row],[تاريخ الشكوي
mm/dd/yyyy]],"mmm-yyyy"))</f>
        <v/>
      </c>
      <c r="M135" s="5" t="str">
        <f>IF(data_entry[[#This Row],[تاريخ الحل
mm/dd/yyyy]]="","",TEXT(data_entry[[#This Row],[تاريخ الحل
mm/dd/yyyy]],"mmm-yyyy"))</f>
        <v/>
      </c>
      <c r="N135" s="21" t="str">
        <f>IF(data_entry[[#This Row],[تاريخ التغذية الراجعة
mm/dd/yyyy]]="","",TEXT(data_entry[[#This Row],[تاريخ التغذية الراجعة
mm/dd/yyyy]],"mmm-yy"))</f>
        <v/>
      </c>
    </row>
    <row r="136" spans="1:14" ht="20" customHeight="1" x14ac:dyDescent="0.35">
      <c r="A136" s="3">
        <v>134</v>
      </c>
      <c r="E136" s="3" t="str">
        <f>IF(data_entry[[#This Row],[تاريخ الشكوي
mm/dd/yyyy]]="","",IF(data_entry[[#This Row],[تاريخ الحل
mm/dd/yyyy]]="","جاري الحل","تم الحل"))</f>
        <v/>
      </c>
      <c r="I136" s="3" t="str">
        <f t="shared" si="2"/>
        <v/>
      </c>
      <c r="J136" s="3" t="str">
        <f>IF(data_entry[[#This Row],[زمن الحل(يوم)]]="", "", IF(data_entry[[#This Row],[زمن الحل(يوم)]]&lt;=3, IF(data_entry[[#This Row],[زمن الحل(يوم)]]&gt;0, "نعم", "لا"), "لا"))</f>
        <v/>
      </c>
      <c r="K13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6" s="11" t="str">
        <f>IF(data_entry[[#This Row],[تاريخ الشكوي
mm/dd/yyyy]]="","",TEXT(data_entry[[#This Row],[تاريخ الشكوي
mm/dd/yyyy]],"mmm-yyyy"))</f>
        <v/>
      </c>
      <c r="M136" s="5" t="str">
        <f>IF(data_entry[[#This Row],[تاريخ الحل
mm/dd/yyyy]]="","",TEXT(data_entry[[#This Row],[تاريخ الحل
mm/dd/yyyy]],"mmm-yyyy"))</f>
        <v/>
      </c>
      <c r="N136" s="21" t="str">
        <f>IF(data_entry[[#This Row],[تاريخ التغذية الراجعة
mm/dd/yyyy]]="","",TEXT(data_entry[[#This Row],[تاريخ التغذية الراجعة
mm/dd/yyyy]],"mmm-yy"))</f>
        <v/>
      </c>
    </row>
    <row r="137" spans="1:14" ht="20" customHeight="1" x14ac:dyDescent="0.35">
      <c r="A137" s="3">
        <v>135</v>
      </c>
      <c r="E137" s="3" t="str">
        <f>IF(data_entry[[#This Row],[تاريخ الشكوي
mm/dd/yyyy]]="","",IF(data_entry[[#This Row],[تاريخ الحل
mm/dd/yyyy]]="","جاري الحل","تم الحل"))</f>
        <v/>
      </c>
      <c r="I137" s="3" t="str">
        <f t="shared" si="2"/>
        <v/>
      </c>
      <c r="J137" s="3" t="str">
        <f>IF(data_entry[[#This Row],[زمن الحل(يوم)]]="", "", IF(data_entry[[#This Row],[زمن الحل(يوم)]]&lt;=3, IF(data_entry[[#This Row],[زمن الحل(يوم)]]&gt;0, "نعم", "لا"), "لا"))</f>
        <v/>
      </c>
      <c r="K13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7" s="11" t="str">
        <f>IF(data_entry[[#This Row],[تاريخ الشكوي
mm/dd/yyyy]]="","",TEXT(data_entry[[#This Row],[تاريخ الشكوي
mm/dd/yyyy]],"mmm-yyyy"))</f>
        <v/>
      </c>
      <c r="M137" s="5" t="str">
        <f>IF(data_entry[[#This Row],[تاريخ الحل
mm/dd/yyyy]]="","",TEXT(data_entry[[#This Row],[تاريخ الحل
mm/dd/yyyy]],"mmm-yyyy"))</f>
        <v/>
      </c>
      <c r="N137" s="21" t="str">
        <f>IF(data_entry[[#This Row],[تاريخ التغذية الراجعة
mm/dd/yyyy]]="","",TEXT(data_entry[[#This Row],[تاريخ التغذية الراجعة
mm/dd/yyyy]],"mmm-yy"))</f>
        <v/>
      </c>
    </row>
    <row r="138" spans="1:14" ht="20" customHeight="1" x14ac:dyDescent="0.35">
      <c r="A138" s="3">
        <v>136</v>
      </c>
      <c r="E138" s="3" t="str">
        <f>IF(data_entry[[#This Row],[تاريخ الشكوي
mm/dd/yyyy]]="","",IF(data_entry[[#This Row],[تاريخ الحل
mm/dd/yyyy]]="","جاري الحل","تم الحل"))</f>
        <v/>
      </c>
      <c r="I138" s="3" t="str">
        <f t="shared" si="2"/>
        <v/>
      </c>
      <c r="J138" s="3" t="str">
        <f>IF(data_entry[[#This Row],[زمن الحل(يوم)]]="", "", IF(data_entry[[#This Row],[زمن الحل(يوم)]]&lt;=3, IF(data_entry[[#This Row],[زمن الحل(يوم)]]&gt;0, "نعم", "لا"), "لا"))</f>
        <v/>
      </c>
      <c r="K13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8" s="11" t="str">
        <f>IF(data_entry[[#This Row],[تاريخ الشكوي
mm/dd/yyyy]]="","",TEXT(data_entry[[#This Row],[تاريخ الشكوي
mm/dd/yyyy]],"mmm-yyyy"))</f>
        <v/>
      </c>
      <c r="M138" s="5" t="str">
        <f>IF(data_entry[[#This Row],[تاريخ الحل
mm/dd/yyyy]]="","",TEXT(data_entry[[#This Row],[تاريخ الحل
mm/dd/yyyy]],"mmm-yyyy"))</f>
        <v/>
      </c>
      <c r="N138" s="21" t="str">
        <f>IF(data_entry[[#This Row],[تاريخ التغذية الراجعة
mm/dd/yyyy]]="","",TEXT(data_entry[[#This Row],[تاريخ التغذية الراجعة
mm/dd/yyyy]],"mmm-yy"))</f>
        <v/>
      </c>
    </row>
    <row r="139" spans="1:14" ht="20" customHeight="1" x14ac:dyDescent="0.35">
      <c r="A139" s="3">
        <v>137</v>
      </c>
      <c r="E139" s="3" t="str">
        <f>IF(data_entry[[#This Row],[تاريخ الشكوي
mm/dd/yyyy]]="","",IF(data_entry[[#This Row],[تاريخ الحل
mm/dd/yyyy]]="","جاري الحل","تم الحل"))</f>
        <v/>
      </c>
      <c r="I139" s="3" t="str">
        <f t="shared" si="2"/>
        <v/>
      </c>
      <c r="J139" s="3" t="str">
        <f>IF(data_entry[[#This Row],[زمن الحل(يوم)]]="", "", IF(data_entry[[#This Row],[زمن الحل(يوم)]]&lt;=3, IF(data_entry[[#This Row],[زمن الحل(يوم)]]&gt;0, "نعم", "لا"), "لا"))</f>
        <v/>
      </c>
      <c r="K13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39" s="11" t="str">
        <f>IF(data_entry[[#This Row],[تاريخ الشكوي
mm/dd/yyyy]]="","",TEXT(data_entry[[#This Row],[تاريخ الشكوي
mm/dd/yyyy]],"mmm-yyyy"))</f>
        <v/>
      </c>
      <c r="M139" s="5" t="str">
        <f>IF(data_entry[[#This Row],[تاريخ الحل
mm/dd/yyyy]]="","",TEXT(data_entry[[#This Row],[تاريخ الحل
mm/dd/yyyy]],"mmm-yyyy"))</f>
        <v/>
      </c>
      <c r="N139" s="21" t="str">
        <f>IF(data_entry[[#This Row],[تاريخ التغذية الراجعة
mm/dd/yyyy]]="","",TEXT(data_entry[[#This Row],[تاريخ التغذية الراجعة
mm/dd/yyyy]],"mmm-yy"))</f>
        <v/>
      </c>
    </row>
    <row r="140" spans="1:14" ht="20" customHeight="1" x14ac:dyDescent="0.35">
      <c r="A140" s="3">
        <v>138</v>
      </c>
      <c r="E140" s="3" t="str">
        <f>IF(data_entry[[#This Row],[تاريخ الشكوي
mm/dd/yyyy]]="","",IF(data_entry[[#This Row],[تاريخ الحل
mm/dd/yyyy]]="","جاري الحل","تم الحل"))</f>
        <v/>
      </c>
      <c r="I140" s="3" t="str">
        <f t="shared" si="2"/>
        <v/>
      </c>
      <c r="J140" s="3" t="str">
        <f>IF(data_entry[[#This Row],[زمن الحل(يوم)]]="", "", IF(data_entry[[#This Row],[زمن الحل(يوم)]]&lt;=3, IF(data_entry[[#This Row],[زمن الحل(يوم)]]&gt;0, "نعم", "لا"), "لا"))</f>
        <v/>
      </c>
      <c r="K14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0" s="11" t="str">
        <f>IF(data_entry[[#This Row],[تاريخ الشكوي
mm/dd/yyyy]]="","",TEXT(data_entry[[#This Row],[تاريخ الشكوي
mm/dd/yyyy]],"mmm-yyyy"))</f>
        <v/>
      </c>
      <c r="M140" s="5" t="str">
        <f>IF(data_entry[[#This Row],[تاريخ الحل
mm/dd/yyyy]]="","",TEXT(data_entry[[#This Row],[تاريخ الحل
mm/dd/yyyy]],"mmm-yyyy"))</f>
        <v/>
      </c>
      <c r="N140" s="21" t="str">
        <f>IF(data_entry[[#This Row],[تاريخ التغذية الراجعة
mm/dd/yyyy]]="","",TEXT(data_entry[[#This Row],[تاريخ التغذية الراجعة
mm/dd/yyyy]],"mmm-yy"))</f>
        <v/>
      </c>
    </row>
    <row r="141" spans="1:14" ht="20" customHeight="1" x14ac:dyDescent="0.35">
      <c r="A141" s="3">
        <v>139</v>
      </c>
      <c r="E141" s="3" t="str">
        <f>IF(data_entry[[#This Row],[تاريخ الشكوي
mm/dd/yyyy]]="","",IF(data_entry[[#This Row],[تاريخ الحل
mm/dd/yyyy]]="","جاري الحل","تم الحل"))</f>
        <v/>
      </c>
      <c r="I141" s="3" t="str">
        <f t="shared" si="2"/>
        <v/>
      </c>
      <c r="J141" s="3" t="str">
        <f>IF(data_entry[[#This Row],[زمن الحل(يوم)]]="", "", IF(data_entry[[#This Row],[زمن الحل(يوم)]]&lt;=3, IF(data_entry[[#This Row],[زمن الحل(يوم)]]&gt;0, "نعم", "لا"), "لا"))</f>
        <v/>
      </c>
      <c r="K14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1" s="11" t="str">
        <f>IF(data_entry[[#This Row],[تاريخ الشكوي
mm/dd/yyyy]]="","",TEXT(data_entry[[#This Row],[تاريخ الشكوي
mm/dd/yyyy]],"mmm-yyyy"))</f>
        <v/>
      </c>
      <c r="M141" s="5" t="str">
        <f>IF(data_entry[[#This Row],[تاريخ الحل
mm/dd/yyyy]]="","",TEXT(data_entry[[#This Row],[تاريخ الحل
mm/dd/yyyy]],"mmm-yyyy"))</f>
        <v/>
      </c>
      <c r="N141" s="21" t="str">
        <f>IF(data_entry[[#This Row],[تاريخ التغذية الراجعة
mm/dd/yyyy]]="","",TEXT(data_entry[[#This Row],[تاريخ التغذية الراجعة
mm/dd/yyyy]],"mmm-yy"))</f>
        <v/>
      </c>
    </row>
    <row r="142" spans="1:14" ht="20" customHeight="1" x14ac:dyDescent="0.35">
      <c r="A142" s="3">
        <v>140</v>
      </c>
      <c r="E142" s="3" t="str">
        <f>IF(data_entry[[#This Row],[تاريخ الشكوي
mm/dd/yyyy]]="","",IF(data_entry[[#This Row],[تاريخ الحل
mm/dd/yyyy]]="","جاري الحل","تم الحل"))</f>
        <v/>
      </c>
      <c r="I142" s="3" t="str">
        <f t="shared" si="2"/>
        <v/>
      </c>
      <c r="J142" s="3" t="str">
        <f>IF(data_entry[[#This Row],[زمن الحل(يوم)]]="", "", IF(data_entry[[#This Row],[زمن الحل(يوم)]]&lt;=3, IF(data_entry[[#This Row],[زمن الحل(يوم)]]&gt;0, "نعم", "لا"), "لا"))</f>
        <v/>
      </c>
      <c r="K14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2" s="11" t="str">
        <f>IF(data_entry[[#This Row],[تاريخ الشكوي
mm/dd/yyyy]]="","",TEXT(data_entry[[#This Row],[تاريخ الشكوي
mm/dd/yyyy]],"mmm-yyyy"))</f>
        <v/>
      </c>
      <c r="M142" s="5" t="str">
        <f>IF(data_entry[[#This Row],[تاريخ الحل
mm/dd/yyyy]]="","",TEXT(data_entry[[#This Row],[تاريخ الحل
mm/dd/yyyy]],"mmm-yyyy"))</f>
        <v/>
      </c>
      <c r="N142" s="21" t="str">
        <f>IF(data_entry[[#This Row],[تاريخ التغذية الراجعة
mm/dd/yyyy]]="","",TEXT(data_entry[[#This Row],[تاريخ التغذية الراجعة
mm/dd/yyyy]],"mmm-yy"))</f>
        <v/>
      </c>
    </row>
    <row r="143" spans="1:14" ht="20" customHeight="1" x14ac:dyDescent="0.35">
      <c r="A143" s="3">
        <v>141</v>
      </c>
      <c r="E143" s="3" t="str">
        <f>IF(data_entry[[#This Row],[تاريخ الشكوي
mm/dd/yyyy]]="","",IF(data_entry[[#This Row],[تاريخ الحل
mm/dd/yyyy]]="","جاري الحل","تم الحل"))</f>
        <v/>
      </c>
      <c r="I143" s="3" t="str">
        <f t="shared" si="2"/>
        <v/>
      </c>
      <c r="J143" s="3" t="str">
        <f>IF(data_entry[[#This Row],[زمن الحل(يوم)]]="", "", IF(data_entry[[#This Row],[زمن الحل(يوم)]]&lt;=3, IF(data_entry[[#This Row],[زمن الحل(يوم)]]&gt;0, "نعم", "لا"), "لا"))</f>
        <v/>
      </c>
      <c r="K14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3" s="11" t="str">
        <f>IF(data_entry[[#This Row],[تاريخ الشكوي
mm/dd/yyyy]]="","",TEXT(data_entry[[#This Row],[تاريخ الشكوي
mm/dd/yyyy]],"mmm-yyyy"))</f>
        <v/>
      </c>
      <c r="M143" s="5" t="str">
        <f>IF(data_entry[[#This Row],[تاريخ الحل
mm/dd/yyyy]]="","",TEXT(data_entry[[#This Row],[تاريخ الحل
mm/dd/yyyy]],"mmm-yyyy"))</f>
        <v/>
      </c>
      <c r="N143" s="21" t="str">
        <f>IF(data_entry[[#This Row],[تاريخ التغذية الراجعة
mm/dd/yyyy]]="","",TEXT(data_entry[[#This Row],[تاريخ التغذية الراجعة
mm/dd/yyyy]],"mmm-yy"))</f>
        <v/>
      </c>
    </row>
    <row r="144" spans="1:14" ht="20" customHeight="1" x14ac:dyDescent="0.35">
      <c r="A144" s="3">
        <v>142</v>
      </c>
      <c r="E144" s="3" t="str">
        <f>IF(data_entry[[#This Row],[تاريخ الشكوي
mm/dd/yyyy]]="","",IF(data_entry[[#This Row],[تاريخ الحل
mm/dd/yyyy]]="","جاري الحل","تم الحل"))</f>
        <v/>
      </c>
      <c r="I144" s="3" t="str">
        <f t="shared" si="2"/>
        <v/>
      </c>
      <c r="J144" s="3" t="str">
        <f>IF(data_entry[[#This Row],[زمن الحل(يوم)]]="", "", IF(data_entry[[#This Row],[زمن الحل(يوم)]]&lt;=3, IF(data_entry[[#This Row],[زمن الحل(يوم)]]&gt;0, "نعم", "لا"), "لا"))</f>
        <v/>
      </c>
      <c r="K14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4" s="11" t="str">
        <f>IF(data_entry[[#This Row],[تاريخ الشكوي
mm/dd/yyyy]]="","",TEXT(data_entry[[#This Row],[تاريخ الشكوي
mm/dd/yyyy]],"mmm-yyyy"))</f>
        <v/>
      </c>
      <c r="M144" s="5" t="str">
        <f>IF(data_entry[[#This Row],[تاريخ الحل
mm/dd/yyyy]]="","",TEXT(data_entry[[#This Row],[تاريخ الحل
mm/dd/yyyy]],"mmm-yyyy"))</f>
        <v/>
      </c>
      <c r="N144" s="21" t="str">
        <f>IF(data_entry[[#This Row],[تاريخ التغذية الراجعة
mm/dd/yyyy]]="","",TEXT(data_entry[[#This Row],[تاريخ التغذية الراجعة
mm/dd/yyyy]],"mmm-yy"))</f>
        <v/>
      </c>
    </row>
    <row r="145" spans="1:14" ht="20" customHeight="1" x14ac:dyDescent="0.35">
      <c r="A145" s="3">
        <v>143</v>
      </c>
      <c r="E145" s="3" t="str">
        <f>IF(data_entry[[#This Row],[تاريخ الشكوي
mm/dd/yyyy]]="","",IF(data_entry[[#This Row],[تاريخ الحل
mm/dd/yyyy]]="","جاري الحل","تم الحل"))</f>
        <v/>
      </c>
      <c r="I145" s="3" t="str">
        <f t="shared" si="2"/>
        <v/>
      </c>
      <c r="J145" s="3" t="str">
        <f>IF(data_entry[[#This Row],[زمن الحل(يوم)]]="", "", IF(data_entry[[#This Row],[زمن الحل(يوم)]]&lt;=3, IF(data_entry[[#This Row],[زمن الحل(يوم)]]&gt;0, "نعم", "لا"), "لا"))</f>
        <v/>
      </c>
      <c r="K14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5" s="11" t="str">
        <f>IF(data_entry[[#This Row],[تاريخ الشكوي
mm/dd/yyyy]]="","",TEXT(data_entry[[#This Row],[تاريخ الشكوي
mm/dd/yyyy]],"mmm-yyyy"))</f>
        <v/>
      </c>
      <c r="M145" s="5" t="str">
        <f>IF(data_entry[[#This Row],[تاريخ الحل
mm/dd/yyyy]]="","",TEXT(data_entry[[#This Row],[تاريخ الحل
mm/dd/yyyy]],"mmm-yyyy"))</f>
        <v/>
      </c>
      <c r="N145" s="21" t="str">
        <f>IF(data_entry[[#This Row],[تاريخ التغذية الراجعة
mm/dd/yyyy]]="","",TEXT(data_entry[[#This Row],[تاريخ التغذية الراجعة
mm/dd/yyyy]],"mmm-yy"))</f>
        <v/>
      </c>
    </row>
    <row r="146" spans="1:14" ht="20" customHeight="1" x14ac:dyDescent="0.35">
      <c r="A146" s="3">
        <v>144</v>
      </c>
      <c r="E146" s="3" t="str">
        <f>IF(data_entry[[#This Row],[تاريخ الشكوي
mm/dd/yyyy]]="","",IF(data_entry[[#This Row],[تاريخ الحل
mm/dd/yyyy]]="","جاري الحل","تم الحل"))</f>
        <v/>
      </c>
      <c r="I146" s="3" t="str">
        <f t="shared" si="2"/>
        <v/>
      </c>
      <c r="J146" s="3" t="str">
        <f>IF(data_entry[[#This Row],[زمن الحل(يوم)]]="", "", IF(data_entry[[#This Row],[زمن الحل(يوم)]]&lt;=3, IF(data_entry[[#This Row],[زمن الحل(يوم)]]&gt;0, "نعم", "لا"), "لا"))</f>
        <v/>
      </c>
      <c r="K14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6" s="11" t="str">
        <f>IF(data_entry[[#This Row],[تاريخ الشكوي
mm/dd/yyyy]]="","",TEXT(data_entry[[#This Row],[تاريخ الشكوي
mm/dd/yyyy]],"mmm-yyyy"))</f>
        <v/>
      </c>
      <c r="M146" s="5" t="str">
        <f>IF(data_entry[[#This Row],[تاريخ الحل
mm/dd/yyyy]]="","",TEXT(data_entry[[#This Row],[تاريخ الحل
mm/dd/yyyy]],"mmm-yyyy"))</f>
        <v/>
      </c>
      <c r="N146" s="21" t="str">
        <f>IF(data_entry[[#This Row],[تاريخ التغذية الراجعة
mm/dd/yyyy]]="","",TEXT(data_entry[[#This Row],[تاريخ التغذية الراجعة
mm/dd/yyyy]],"mmm-yy"))</f>
        <v/>
      </c>
    </row>
    <row r="147" spans="1:14" ht="20" customHeight="1" x14ac:dyDescent="0.35">
      <c r="A147" s="3">
        <v>145</v>
      </c>
      <c r="E147" s="3" t="str">
        <f>IF(data_entry[[#This Row],[تاريخ الشكوي
mm/dd/yyyy]]="","",IF(data_entry[[#This Row],[تاريخ الحل
mm/dd/yyyy]]="","جاري الحل","تم الحل"))</f>
        <v/>
      </c>
      <c r="I147" s="3" t="str">
        <f t="shared" si="2"/>
        <v/>
      </c>
      <c r="J147" s="3" t="str">
        <f>IF(data_entry[[#This Row],[زمن الحل(يوم)]]="", "", IF(data_entry[[#This Row],[زمن الحل(يوم)]]&lt;=3, IF(data_entry[[#This Row],[زمن الحل(يوم)]]&gt;0, "نعم", "لا"), "لا"))</f>
        <v/>
      </c>
      <c r="K14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7" s="11" t="str">
        <f>IF(data_entry[[#This Row],[تاريخ الشكوي
mm/dd/yyyy]]="","",TEXT(data_entry[[#This Row],[تاريخ الشكوي
mm/dd/yyyy]],"mmm-yyyy"))</f>
        <v/>
      </c>
      <c r="M147" s="5" t="str">
        <f>IF(data_entry[[#This Row],[تاريخ الحل
mm/dd/yyyy]]="","",TEXT(data_entry[[#This Row],[تاريخ الحل
mm/dd/yyyy]],"mmm-yyyy"))</f>
        <v/>
      </c>
      <c r="N147" s="21" t="str">
        <f>IF(data_entry[[#This Row],[تاريخ التغذية الراجعة
mm/dd/yyyy]]="","",TEXT(data_entry[[#This Row],[تاريخ التغذية الراجعة
mm/dd/yyyy]],"mmm-yy"))</f>
        <v/>
      </c>
    </row>
    <row r="148" spans="1:14" ht="20" customHeight="1" x14ac:dyDescent="0.35">
      <c r="A148" s="3">
        <v>146</v>
      </c>
      <c r="E148" s="3" t="str">
        <f>IF(data_entry[[#This Row],[تاريخ الشكوي
mm/dd/yyyy]]="","",IF(data_entry[[#This Row],[تاريخ الحل
mm/dd/yyyy]]="","جاري الحل","تم الحل"))</f>
        <v/>
      </c>
      <c r="I148" s="3" t="str">
        <f t="shared" si="2"/>
        <v/>
      </c>
      <c r="J148" s="3" t="str">
        <f>IF(data_entry[[#This Row],[زمن الحل(يوم)]]="", "", IF(data_entry[[#This Row],[زمن الحل(يوم)]]&lt;=3, IF(data_entry[[#This Row],[زمن الحل(يوم)]]&gt;0, "نعم", "لا"), "لا"))</f>
        <v/>
      </c>
      <c r="K14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8" s="11" t="str">
        <f>IF(data_entry[[#This Row],[تاريخ الشكوي
mm/dd/yyyy]]="","",TEXT(data_entry[[#This Row],[تاريخ الشكوي
mm/dd/yyyy]],"mmm-yyyy"))</f>
        <v/>
      </c>
      <c r="M148" s="5" t="str">
        <f>IF(data_entry[[#This Row],[تاريخ الحل
mm/dd/yyyy]]="","",TEXT(data_entry[[#This Row],[تاريخ الحل
mm/dd/yyyy]],"mmm-yyyy"))</f>
        <v/>
      </c>
      <c r="N148" s="21" t="str">
        <f>IF(data_entry[[#This Row],[تاريخ التغذية الراجعة
mm/dd/yyyy]]="","",TEXT(data_entry[[#This Row],[تاريخ التغذية الراجعة
mm/dd/yyyy]],"mmm-yy"))</f>
        <v/>
      </c>
    </row>
    <row r="149" spans="1:14" ht="20" customHeight="1" x14ac:dyDescent="0.35">
      <c r="A149" s="3">
        <v>147</v>
      </c>
      <c r="E149" s="3" t="str">
        <f>IF(data_entry[[#This Row],[تاريخ الشكوي
mm/dd/yyyy]]="","",IF(data_entry[[#This Row],[تاريخ الحل
mm/dd/yyyy]]="","جاري الحل","تم الحل"))</f>
        <v/>
      </c>
      <c r="I149" s="3" t="str">
        <f t="shared" si="2"/>
        <v/>
      </c>
      <c r="J149" s="3" t="str">
        <f>IF(data_entry[[#This Row],[زمن الحل(يوم)]]="", "", IF(data_entry[[#This Row],[زمن الحل(يوم)]]&lt;=3, IF(data_entry[[#This Row],[زمن الحل(يوم)]]&gt;0, "نعم", "لا"), "لا"))</f>
        <v/>
      </c>
      <c r="K14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49" s="11" t="str">
        <f>IF(data_entry[[#This Row],[تاريخ الشكوي
mm/dd/yyyy]]="","",TEXT(data_entry[[#This Row],[تاريخ الشكوي
mm/dd/yyyy]],"mmm-yyyy"))</f>
        <v/>
      </c>
      <c r="M149" s="5" t="str">
        <f>IF(data_entry[[#This Row],[تاريخ الحل
mm/dd/yyyy]]="","",TEXT(data_entry[[#This Row],[تاريخ الحل
mm/dd/yyyy]],"mmm-yyyy"))</f>
        <v/>
      </c>
      <c r="N149" s="21" t="str">
        <f>IF(data_entry[[#This Row],[تاريخ التغذية الراجعة
mm/dd/yyyy]]="","",TEXT(data_entry[[#This Row],[تاريخ التغذية الراجعة
mm/dd/yyyy]],"mmm-yy"))</f>
        <v/>
      </c>
    </row>
    <row r="150" spans="1:14" ht="20" customHeight="1" x14ac:dyDescent="0.35">
      <c r="A150" s="3">
        <v>148</v>
      </c>
      <c r="E150" s="3" t="str">
        <f>IF(data_entry[[#This Row],[تاريخ الشكوي
mm/dd/yyyy]]="","",IF(data_entry[[#This Row],[تاريخ الحل
mm/dd/yyyy]]="","جاري الحل","تم الحل"))</f>
        <v/>
      </c>
      <c r="I150" s="3" t="str">
        <f t="shared" si="2"/>
        <v/>
      </c>
      <c r="J150" s="3" t="str">
        <f>IF(data_entry[[#This Row],[زمن الحل(يوم)]]="", "", IF(data_entry[[#This Row],[زمن الحل(يوم)]]&lt;=3, IF(data_entry[[#This Row],[زمن الحل(يوم)]]&gt;0, "نعم", "لا"), "لا"))</f>
        <v/>
      </c>
      <c r="K15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0" s="11" t="str">
        <f>IF(data_entry[[#This Row],[تاريخ الشكوي
mm/dd/yyyy]]="","",TEXT(data_entry[[#This Row],[تاريخ الشكوي
mm/dd/yyyy]],"mmm-yyyy"))</f>
        <v/>
      </c>
      <c r="M150" s="5" t="str">
        <f>IF(data_entry[[#This Row],[تاريخ الحل
mm/dd/yyyy]]="","",TEXT(data_entry[[#This Row],[تاريخ الحل
mm/dd/yyyy]],"mmm-yyyy"))</f>
        <v/>
      </c>
      <c r="N150" s="21" t="str">
        <f>IF(data_entry[[#This Row],[تاريخ التغذية الراجعة
mm/dd/yyyy]]="","",TEXT(data_entry[[#This Row],[تاريخ التغذية الراجعة
mm/dd/yyyy]],"mmm-yy"))</f>
        <v/>
      </c>
    </row>
    <row r="151" spans="1:14" ht="20" customHeight="1" x14ac:dyDescent="0.35">
      <c r="A151" s="3">
        <v>149</v>
      </c>
      <c r="E151" s="3" t="str">
        <f>IF(data_entry[[#This Row],[تاريخ الشكوي
mm/dd/yyyy]]="","",IF(data_entry[[#This Row],[تاريخ الحل
mm/dd/yyyy]]="","جاري الحل","تم الحل"))</f>
        <v/>
      </c>
      <c r="I151" s="3" t="str">
        <f t="shared" si="2"/>
        <v/>
      </c>
      <c r="J151" s="3" t="str">
        <f>IF(data_entry[[#This Row],[زمن الحل(يوم)]]="", "", IF(data_entry[[#This Row],[زمن الحل(يوم)]]&lt;=3, IF(data_entry[[#This Row],[زمن الحل(يوم)]]&gt;0, "نعم", "لا"), "لا"))</f>
        <v/>
      </c>
      <c r="K15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1" s="11" t="str">
        <f>IF(data_entry[[#This Row],[تاريخ الشكوي
mm/dd/yyyy]]="","",TEXT(data_entry[[#This Row],[تاريخ الشكوي
mm/dd/yyyy]],"mmm-yyyy"))</f>
        <v/>
      </c>
      <c r="M151" s="5" t="str">
        <f>IF(data_entry[[#This Row],[تاريخ الحل
mm/dd/yyyy]]="","",TEXT(data_entry[[#This Row],[تاريخ الحل
mm/dd/yyyy]],"mmm-yyyy"))</f>
        <v/>
      </c>
      <c r="N151" s="21" t="str">
        <f>IF(data_entry[[#This Row],[تاريخ التغذية الراجعة
mm/dd/yyyy]]="","",TEXT(data_entry[[#This Row],[تاريخ التغذية الراجعة
mm/dd/yyyy]],"mmm-yy"))</f>
        <v/>
      </c>
    </row>
    <row r="152" spans="1:14" ht="20" customHeight="1" x14ac:dyDescent="0.35">
      <c r="A152" s="3">
        <v>150</v>
      </c>
      <c r="E152" s="3" t="str">
        <f>IF(data_entry[[#This Row],[تاريخ الشكوي
mm/dd/yyyy]]="","",IF(data_entry[[#This Row],[تاريخ الحل
mm/dd/yyyy]]="","جاري الحل","تم الحل"))</f>
        <v/>
      </c>
      <c r="I152" s="3" t="str">
        <f t="shared" si="2"/>
        <v/>
      </c>
      <c r="J152" s="3" t="str">
        <f>IF(data_entry[[#This Row],[زمن الحل(يوم)]]="", "", IF(data_entry[[#This Row],[زمن الحل(يوم)]]&lt;=3, IF(data_entry[[#This Row],[زمن الحل(يوم)]]&gt;0, "نعم", "لا"), "لا"))</f>
        <v/>
      </c>
      <c r="K15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2" s="11" t="str">
        <f>IF(data_entry[[#This Row],[تاريخ الشكوي
mm/dd/yyyy]]="","",TEXT(data_entry[[#This Row],[تاريخ الشكوي
mm/dd/yyyy]],"mmm-yyyy"))</f>
        <v/>
      </c>
      <c r="M152" s="5" t="str">
        <f>IF(data_entry[[#This Row],[تاريخ الحل
mm/dd/yyyy]]="","",TEXT(data_entry[[#This Row],[تاريخ الحل
mm/dd/yyyy]],"mmm-yyyy"))</f>
        <v/>
      </c>
      <c r="N152" s="21" t="str">
        <f>IF(data_entry[[#This Row],[تاريخ التغذية الراجعة
mm/dd/yyyy]]="","",TEXT(data_entry[[#This Row],[تاريخ التغذية الراجعة
mm/dd/yyyy]],"mmm-yy"))</f>
        <v/>
      </c>
    </row>
    <row r="153" spans="1:14" ht="20" customHeight="1" x14ac:dyDescent="0.35">
      <c r="A153" s="3">
        <v>151</v>
      </c>
      <c r="E153" s="3" t="str">
        <f>IF(data_entry[[#This Row],[تاريخ الشكوي
mm/dd/yyyy]]="","",IF(data_entry[[#This Row],[تاريخ الحل
mm/dd/yyyy]]="","جاري الحل","تم الحل"))</f>
        <v/>
      </c>
      <c r="I153" s="3" t="str">
        <f t="shared" si="2"/>
        <v/>
      </c>
      <c r="J153" s="3" t="str">
        <f>IF(data_entry[[#This Row],[زمن الحل(يوم)]]="", "", IF(data_entry[[#This Row],[زمن الحل(يوم)]]&lt;=3, IF(data_entry[[#This Row],[زمن الحل(يوم)]]&gt;0, "نعم", "لا"), "لا"))</f>
        <v/>
      </c>
      <c r="K15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3" s="11" t="str">
        <f>IF(data_entry[[#This Row],[تاريخ الشكوي
mm/dd/yyyy]]="","",TEXT(data_entry[[#This Row],[تاريخ الشكوي
mm/dd/yyyy]],"mmm-yyyy"))</f>
        <v/>
      </c>
      <c r="M153" s="5" t="str">
        <f>IF(data_entry[[#This Row],[تاريخ الحل
mm/dd/yyyy]]="","",TEXT(data_entry[[#This Row],[تاريخ الحل
mm/dd/yyyy]],"mmm-yyyy"))</f>
        <v/>
      </c>
      <c r="N153" s="21" t="str">
        <f>IF(data_entry[[#This Row],[تاريخ التغذية الراجعة
mm/dd/yyyy]]="","",TEXT(data_entry[[#This Row],[تاريخ التغذية الراجعة
mm/dd/yyyy]],"mmm-yy"))</f>
        <v/>
      </c>
    </row>
    <row r="154" spans="1:14" ht="20" customHeight="1" x14ac:dyDescent="0.35">
      <c r="A154" s="3">
        <v>152</v>
      </c>
      <c r="E154" s="3" t="str">
        <f>IF(data_entry[[#This Row],[تاريخ الشكوي
mm/dd/yyyy]]="","",IF(data_entry[[#This Row],[تاريخ الحل
mm/dd/yyyy]]="","جاري الحل","تم الحل"))</f>
        <v/>
      </c>
      <c r="I154" s="3" t="str">
        <f t="shared" si="2"/>
        <v/>
      </c>
      <c r="J154" s="3" t="str">
        <f>IF(data_entry[[#This Row],[زمن الحل(يوم)]]="", "", IF(data_entry[[#This Row],[زمن الحل(يوم)]]&lt;=3, IF(data_entry[[#This Row],[زمن الحل(يوم)]]&gt;0, "نعم", "لا"), "لا"))</f>
        <v/>
      </c>
      <c r="K15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4" s="11" t="str">
        <f>IF(data_entry[[#This Row],[تاريخ الشكوي
mm/dd/yyyy]]="","",TEXT(data_entry[[#This Row],[تاريخ الشكوي
mm/dd/yyyy]],"mmm-yyyy"))</f>
        <v/>
      </c>
      <c r="M154" s="5" t="str">
        <f>IF(data_entry[[#This Row],[تاريخ الحل
mm/dd/yyyy]]="","",TEXT(data_entry[[#This Row],[تاريخ الحل
mm/dd/yyyy]],"mmm-yyyy"))</f>
        <v/>
      </c>
      <c r="N154" s="21" t="str">
        <f>IF(data_entry[[#This Row],[تاريخ التغذية الراجعة
mm/dd/yyyy]]="","",TEXT(data_entry[[#This Row],[تاريخ التغذية الراجعة
mm/dd/yyyy]],"mmm-yy"))</f>
        <v/>
      </c>
    </row>
    <row r="155" spans="1:14" ht="20" customHeight="1" x14ac:dyDescent="0.35">
      <c r="A155" s="3">
        <v>153</v>
      </c>
      <c r="E155" s="3" t="str">
        <f>IF(data_entry[[#This Row],[تاريخ الشكوي
mm/dd/yyyy]]="","",IF(data_entry[[#This Row],[تاريخ الحل
mm/dd/yyyy]]="","جاري الحل","تم الحل"))</f>
        <v/>
      </c>
      <c r="I155" s="3" t="str">
        <f t="shared" si="2"/>
        <v/>
      </c>
      <c r="J155" s="3" t="str">
        <f>IF(data_entry[[#This Row],[زمن الحل(يوم)]]="", "", IF(data_entry[[#This Row],[زمن الحل(يوم)]]&lt;=3, IF(data_entry[[#This Row],[زمن الحل(يوم)]]&gt;0, "نعم", "لا"), "لا"))</f>
        <v/>
      </c>
      <c r="K15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5" s="11" t="str">
        <f>IF(data_entry[[#This Row],[تاريخ الشكوي
mm/dd/yyyy]]="","",TEXT(data_entry[[#This Row],[تاريخ الشكوي
mm/dd/yyyy]],"mmm-yyyy"))</f>
        <v/>
      </c>
      <c r="M155" s="5" t="str">
        <f>IF(data_entry[[#This Row],[تاريخ الحل
mm/dd/yyyy]]="","",TEXT(data_entry[[#This Row],[تاريخ الحل
mm/dd/yyyy]],"mmm-yyyy"))</f>
        <v/>
      </c>
      <c r="N155" s="21" t="str">
        <f>IF(data_entry[[#This Row],[تاريخ التغذية الراجعة
mm/dd/yyyy]]="","",TEXT(data_entry[[#This Row],[تاريخ التغذية الراجعة
mm/dd/yyyy]],"mmm-yy"))</f>
        <v/>
      </c>
    </row>
    <row r="156" spans="1:14" ht="20" customHeight="1" x14ac:dyDescent="0.35">
      <c r="A156" s="3">
        <v>154</v>
      </c>
      <c r="E156" s="3" t="str">
        <f>IF(data_entry[[#This Row],[تاريخ الشكوي
mm/dd/yyyy]]="","",IF(data_entry[[#This Row],[تاريخ الحل
mm/dd/yyyy]]="","جاري الحل","تم الحل"))</f>
        <v/>
      </c>
      <c r="I156" s="3" t="str">
        <f t="shared" si="2"/>
        <v/>
      </c>
      <c r="J156" s="3" t="str">
        <f>IF(data_entry[[#This Row],[زمن الحل(يوم)]]="", "", IF(data_entry[[#This Row],[زمن الحل(يوم)]]&lt;=3, IF(data_entry[[#This Row],[زمن الحل(يوم)]]&gt;0, "نعم", "لا"), "لا"))</f>
        <v/>
      </c>
      <c r="K15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6" s="11" t="str">
        <f>IF(data_entry[[#This Row],[تاريخ الشكوي
mm/dd/yyyy]]="","",TEXT(data_entry[[#This Row],[تاريخ الشكوي
mm/dd/yyyy]],"mmm-yyyy"))</f>
        <v/>
      </c>
      <c r="M156" s="5" t="str">
        <f>IF(data_entry[[#This Row],[تاريخ الحل
mm/dd/yyyy]]="","",TEXT(data_entry[[#This Row],[تاريخ الحل
mm/dd/yyyy]],"mmm-yyyy"))</f>
        <v/>
      </c>
      <c r="N156" s="21" t="str">
        <f>IF(data_entry[[#This Row],[تاريخ التغذية الراجعة
mm/dd/yyyy]]="","",TEXT(data_entry[[#This Row],[تاريخ التغذية الراجعة
mm/dd/yyyy]],"mmm-yy"))</f>
        <v/>
      </c>
    </row>
    <row r="157" spans="1:14" ht="20" customHeight="1" x14ac:dyDescent="0.35">
      <c r="A157" s="3">
        <v>155</v>
      </c>
      <c r="E157" s="3" t="str">
        <f>IF(data_entry[[#This Row],[تاريخ الشكوي
mm/dd/yyyy]]="","",IF(data_entry[[#This Row],[تاريخ الحل
mm/dd/yyyy]]="","جاري الحل","تم الحل"))</f>
        <v/>
      </c>
      <c r="I157" s="3" t="str">
        <f t="shared" si="2"/>
        <v/>
      </c>
      <c r="J157" s="3" t="str">
        <f>IF(data_entry[[#This Row],[زمن الحل(يوم)]]="", "", IF(data_entry[[#This Row],[زمن الحل(يوم)]]&lt;=3, IF(data_entry[[#This Row],[زمن الحل(يوم)]]&gt;0, "نعم", "لا"), "لا"))</f>
        <v/>
      </c>
      <c r="K15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7" s="11" t="str">
        <f>IF(data_entry[[#This Row],[تاريخ الشكوي
mm/dd/yyyy]]="","",TEXT(data_entry[[#This Row],[تاريخ الشكوي
mm/dd/yyyy]],"mmm-yyyy"))</f>
        <v/>
      </c>
      <c r="M157" s="5" t="str">
        <f>IF(data_entry[[#This Row],[تاريخ الحل
mm/dd/yyyy]]="","",TEXT(data_entry[[#This Row],[تاريخ الحل
mm/dd/yyyy]],"mmm-yyyy"))</f>
        <v/>
      </c>
      <c r="N157" s="21" t="str">
        <f>IF(data_entry[[#This Row],[تاريخ التغذية الراجعة
mm/dd/yyyy]]="","",TEXT(data_entry[[#This Row],[تاريخ التغذية الراجعة
mm/dd/yyyy]],"mmm-yy"))</f>
        <v/>
      </c>
    </row>
    <row r="158" spans="1:14" ht="20" customHeight="1" x14ac:dyDescent="0.35">
      <c r="A158" s="3">
        <v>156</v>
      </c>
      <c r="E158" s="3" t="str">
        <f>IF(data_entry[[#This Row],[تاريخ الشكوي
mm/dd/yyyy]]="","",IF(data_entry[[#This Row],[تاريخ الحل
mm/dd/yyyy]]="","جاري الحل","تم الحل"))</f>
        <v/>
      </c>
      <c r="I158" s="3" t="str">
        <f t="shared" si="2"/>
        <v/>
      </c>
      <c r="J158" s="3" t="str">
        <f>IF(data_entry[[#This Row],[زمن الحل(يوم)]]="", "", IF(data_entry[[#This Row],[زمن الحل(يوم)]]&lt;=3, IF(data_entry[[#This Row],[زمن الحل(يوم)]]&gt;0, "نعم", "لا"), "لا"))</f>
        <v/>
      </c>
      <c r="K15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8" s="11" t="str">
        <f>IF(data_entry[[#This Row],[تاريخ الشكوي
mm/dd/yyyy]]="","",TEXT(data_entry[[#This Row],[تاريخ الشكوي
mm/dd/yyyy]],"mmm-yyyy"))</f>
        <v/>
      </c>
      <c r="M158" s="5" t="str">
        <f>IF(data_entry[[#This Row],[تاريخ الحل
mm/dd/yyyy]]="","",TEXT(data_entry[[#This Row],[تاريخ الحل
mm/dd/yyyy]],"mmm-yyyy"))</f>
        <v/>
      </c>
      <c r="N158" s="21" t="str">
        <f>IF(data_entry[[#This Row],[تاريخ التغذية الراجعة
mm/dd/yyyy]]="","",TEXT(data_entry[[#This Row],[تاريخ التغذية الراجعة
mm/dd/yyyy]],"mmm-yy"))</f>
        <v/>
      </c>
    </row>
    <row r="159" spans="1:14" ht="20" customHeight="1" x14ac:dyDescent="0.35">
      <c r="A159" s="3">
        <v>157</v>
      </c>
      <c r="E159" s="3" t="str">
        <f>IF(data_entry[[#This Row],[تاريخ الشكوي
mm/dd/yyyy]]="","",IF(data_entry[[#This Row],[تاريخ الحل
mm/dd/yyyy]]="","جاري الحل","تم الحل"))</f>
        <v/>
      </c>
      <c r="I159" s="3" t="str">
        <f t="shared" si="2"/>
        <v/>
      </c>
      <c r="J159" s="3" t="str">
        <f>IF(data_entry[[#This Row],[زمن الحل(يوم)]]="", "", IF(data_entry[[#This Row],[زمن الحل(يوم)]]&lt;=3, IF(data_entry[[#This Row],[زمن الحل(يوم)]]&gt;0, "نعم", "لا"), "لا"))</f>
        <v/>
      </c>
      <c r="K15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59" s="11" t="str">
        <f>IF(data_entry[[#This Row],[تاريخ الشكوي
mm/dd/yyyy]]="","",TEXT(data_entry[[#This Row],[تاريخ الشكوي
mm/dd/yyyy]],"mmm-yyyy"))</f>
        <v/>
      </c>
      <c r="M159" s="5" t="str">
        <f>IF(data_entry[[#This Row],[تاريخ الحل
mm/dd/yyyy]]="","",TEXT(data_entry[[#This Row],[تاريخ الحل
mm/dd/yyyy]],"mmm-yyyy"))</f>
        <v/>
      </c>
      <c r="N159" s="21" t="str">
        <f>IF(data_entry[[#This Row],[تاريخ التغذية الراجعة
mm/dd/yyyy]]="","",TEXT(data_entry[[#This Row],[تاريخ التغذية الراجعة
mm/dd/yyyy]],"mmm-yy"))</f>
        <v/>
      </c>
    </row>
    <row r="160" spans="1:14" ht="20" customHeight="1" x14ac:dyDescent="0.35">
      <c r="A160" s="3">
        <v>158</v>
      </c>
      <c r="E160" s="3" t="str">
        <f>IF(data_entry[[#This Row],[تاريخ الشكوي
mm/dd/yyyy]]="","",IF(data_entry[[#This Row],[تاريخ الحل
mm/dd/yyyy]]="","جاري الحل","تم الحل"))</f>
        <v/>
      </c>
      <c r="I160" s="3" t="str">
        <f t="shared" si="2"/>
        <v/>
      </c>
      <c r="J160" s="3" t="str">
        <f>IF(data_entry[[#This Row],[زمن الحل(يوم)]]="", "", IF(data_entry[[#This Row],[زمن الحل(يوم)]]&lt;=3, IF(data_entry[[#This Row],[زمن الحل(يوم)]]&gt;0, "نعم", "لا"), "لا"))</f>
        <v/>
      </c>
      <c r="K16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0" s="11" t="str">
        <f>IF(data_entry[[#This Row],[تاريخ الشكوي
mm/dd/yyyy]]="","",TEXT(data_entry[[#This Row],[تاريخ الشكوي
mm/dd/yyyy]],"mmm-yyyy"))</f>
        <v/>
      </c>
      <c r="M160" s="5" t="str">
        <f>IF(data_entry[[#This Row],[تاريخ الحل
mm/dd/yyyy]]="","",TEXT(data_entry[[#This Row],[تاريخ الحل
mm/dd/yyyy]],"mmm-yyyy"))</f>
        <v/>
      </c>
      <c r="N160" s="21" t="str">
        <f>IF(data_entry[[#This Row],[تاريخ التغذية الراجعة
mm/dd/yyyy]]="","",TEXT(data_entry[[#This Row],[تاريخ التغذية الراجعة
mm/dd/yyyy]],"mmm-yy"))</f>
        <v/>
      </c>
    </row>
    <row r="161" spans="1:14" ht="20" customHeight="1" x14ac:dyDescent="0.35">
      <c r="A161" s="3">
        <v>159</v>
      </c>
      <c r="E161" s="3" t="str">
        <f>IF(data_entry[[#This Row],[تاريخ الشكوي
mm/dd/yyyy]]="","",IF(data_entry[[#This Row],[تاريخ الحل
mm/dd/yyyy]]="","جاري الحل","تم الحل"))</f>
        <v/>
      </c>
      <c r="I161" s="3" t="str">
        <f t="shared" si="2"/>
        <v/>
      </c>
      <c r="J161" s="3" t="str">
        <f>IF(data_entry[[#This Row],[زمن الحل(يوم)]]="", "", IF(data_entry[[#This Row],[زمن الحل(يوم)]]&lt;=3, IF(data_entry[[#This Row],[زمن الحل(يوم)]]&gt;0, "نعم", "لا"), "لا"))</f>
        <v/>
      </c>
      <c r="K16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1" s="11" t="str">
        <f>IF(data_entry[[#This Row],[تاريخ الشكوي
mm/dd/yyyy]]="","",TEXT(data_entry[[#This Row],[تاريخ الشكوي
mm/dd/yyyy]],"mmm-yyyy"))</f>
        <v/>
      </c>
      <c r="M161" s="5" t="str">
        <f>IF(data_entry[[#This Row],[تاريخ الحل
mm/dd/yyyy]]="","",TEXT(data_entry[[#This Row],[تاريخ الحل
mm/dd/yyyy]],"mmm-yyyy"))</f>
        <v/>
      </c>
      <c r="N161" s="21" t="str">
        <f>IF(data_entry[[#This Row],[تاريخ التغذية الراجعة
mm/dd/yyyy]]="","",TEXT(data_entry[[#This Row],[تاريخ التغذية الراجعة
mm/dd/yyyy]],"mmm-yy"))</f>
        <v/>
      </c>
    </row>
    <row r="162" spans="1:14" ht="20" customHeight="1" x14ac:dyDescent="0.35">
      <c r="A162" s="3">
        <v>160</v>
      </c>
      <c r="E162" s="3" t="str">
        <f>IF(data_entry[[#This Row],[تاريخ الشكوي
mm/dd/yyyy]]="","",IF(data_entry[[#This Row],[تاريخ الحل
mm/dd/yyyy]]="","جاري الحل","تم الحل"))</f>
        <v/>
      </c>
      <c r="I162" s="3" t="str">
        <f t="shared" si="2"/>
        <v/>
      </c>
      <c r="J162" s="3" t="str">
        <f>IF(data_entry[[#This Row],[زمن الحل(يوم)]]="", "", IF(data_entry[[#This Row],[زمن الحل(يوم)]]&lt;=3, IF(data_entry[[#This Row],[زمن الحل(يوم)]]&gt;0, "نعم", "لا"), "لا"))</f>
        <v/>
      </c>
      <c r="K16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2" s="11" t="str">
        <f>IF(data_entry[[#This Row],[تاريخ الشكوي
mm/dd/yyyy]]="","",TEXT(data_entry[[#This Row],[تاريخ الشكوي
mm/dd/yyyy]],"mmm-yyyy"))</f>
        <v/>
      </c>
      <c r="M162" s="5" t="str">
        <f>IF(data_entry[[#This Row],[تاريخ الحل
mm/dd/yyyy]]="","",TEXT(data_entry[[#This Row],[تاريخ الحل
mm/dd/yyyy]],"mmm-yyyy"))</f>
        <v/>
      </c>
      <c r="N162" s="21" t="str">
        <f>IF(data_entry[[#This Row],[تاريخ التغذية الراجعة
mm/dd/yyyy]]="","",TEXT(data_entry[[#This Row],[تاريخ التغذية الراجعة
mm/dd/yyyy]],"mmm-yy"))</f>
        <v/>
      </c>
    </row>
    <row r="163" spans="1:14" ht="20" customHeight="1" x14ac:dyDescent="0.35">
      <c r="A163" s="3">
        <v>161</v>
      </c>
      <c r="E163" s="3" t="str">
        <f>IF(data_entry[[#This Row],[تاريخ الشكوي
mm/dd/yyyy]]="","",IF(data_entry[[#This Row],[تاريخ الحل
mm/dd/yyyy]]="","جاري الحل","تم الحل"))</f>
        <v/>
      </c>
      <c r="I163" s="3" t="str">
        <f t="shared" si="2"/>
        <v/>
      </c>
      <c r="J163" s="3" t="str">
        <f>IF(data_entry[[#This Row],[زمن الحل(يوم)]]="", "", IF(data_entry[[#This Row],[زمن الحل(يوم)]]&lt;=3, IF(data_entry[[#This Row],[زمن الحل(يوم)]]&gt;0, "نعم", "لا"), "لا"))</f>
        <v/>
      </c>
      <c r="K16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3" s="11" t="str">
        <f>IF(data_entry[[#This Row],[تاريخ الشكوي
mm/dd/yyyy]]="","",TEXT(data_entry[[#This Row],[تاريخ الشكوي
mm/dd/yyyy]],"mmm-yyyy"))</f>
        <v/>
      </c>
      <c r="M163" s="5" t="str">
        <f>IF(data_entry[[#This Row],[تاريخ الحل
mm/dd/yyyy]]="","",TEXT(data_entry[[#This Row],[تاريخ الحل
mm/dd/yyyy]],"mmm-yyyy"))</f>
        <v/>
      </c>
      <c r="N163" s="21" t="str">
        <f>IF(data_entry[[#This Row],[تاريخ التغذية الراجعة
mm/dd/yyyy]]="","",TEXT(data_entry[[#This Row],[تاريخ التغذية الراجعة
mm/dd/yyyy]],"mmm-yy"))</f>
        <v/>
      </c>
    </row>
    <row r="164" spans="1:14" ht="20" customHeight="1" x14ac:dyDescent="0.35">
      <c r="A164" s="3">
        <v>162</v>
      </c>
      <c r="E164" s="3" t="str">
        <f>IF(data_entry[[#This Row],[تاريخ الشكوي
mm/dd/yyyy]]="","",IF(data_entry[[#This Row],[تاريخ الحل
mm/dd/yyyy]]="","جاري الحل","تم الحل"))</f>
        <v/>
      </c>
      <c r="I164" s="3" t="str">
        <f t="shared" si="2"/>
        <v/>
      </c>
      <c r="J164" s="3" t="str">
        <f>IF(data_entry[[#This Row],[زمن الحل(يوم)]]="", "", IF(data_entry[[#This Row],[زمن الحل(يوم)]]&lt;=3, IF(data_entry[[#This Row],[زمن الحل(يوم)]]&gt;0, "نعم", "لا"), "لا"))</f>
        <v/>
      </c>
      <c r="K16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4" s="11" t="str">
        <f>IF(data_entry[[#This Row],[تاريخ الشكوي
mm/dd/yyyy]]="","",TEXT(data_entry[[#This Row],[تاريخ الشكوي
mm/dd/yyyy]],"mmm-yyyy"))</f>
        <v/>
      </c>
      <c r="M164" s="5" t="str">
        <f>IF(data_entry[[#This Row],[تاريخ الحل
mm/dd/yyyy]]="","",TEXT(data_entry[[#This Row],[تاريخ الحل
mm/dd/yyyy]],"mmm-yyyy"))</f>
        <v/>
      </c>
      <c r="N164" s="21" t="str">
        <f>IF(data_entry[[#This Row],[تاريخ التغذية الراجعة
mm/dd/yyyy]]="","",TEXT(data_entry[[#This Row],[تاريخ التغذية الراجعة
mm/dd/yyyy]],"mmm-yy"))</f>
        <v/>
      </c>
    </row>
    <row r="165" spans="1:14" ht="20" customHeight="1" x14ac:dyDescent="0.35">
      <c r="A165" s="3">
        <v>163</v>
      </c>
      <c r="E165" s="3" t="str">
        <f>IF(data_entry[[#This Row],[تاريخ الشكوي
mm/dd/yyyy]]="","",IF(data_entry[[#This Row],[تاريخ الحل
mm/dd/yyyy]]="","جاري الحل","تم الحل"))</f>
        <v/>
      </c>
      <c r="I165" s="3" t="str">
        <f t="shared" si="2"/>
        <v/>
      </c>
      <c r="J165" s="3" t="str">
        <f>IF(data_entry[[#This Row],[زمن الحل(يوم)]]="", "", IF(data_entry[[#This Row],[زمن الحل(يوم)]]&lt;=3, IF(data_entry[[#This Row],[زمن الحل(يوم)]]&gt;0, "نعم", "لا"), "لا"))</f>
        <v/>
      </c>
      <c r="K16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5" s="11" t="str">
        <f>IF(data_entry[[#This Row],[تاريخ الشكوي
mm/dd/yyyy]]="","",TEXT(data_entry[[#This Row],[تاريخ الشكوي
mm/dd/yyyy]],"mmm-yyyy"))</f>
        <v/>
      </c>
      <c r="M165" s="5" t="str">
        <f>IF(data_entry[[#This Row],[تاريخ الحل
mm/dd/yyyy]]="","",TEXT(data_entry[[#This Row],[تاريخ الحل
mm/dd/yyyy]],"mmm-yyyy"))</f>
        <v/>
      </c>
      <c r="N165" s="21" t="str">
        <f>IF(data_entry[[#This Row],[تاريخ التغذية الراجعة
mm/dd/yyyy]]="","",TEXT(data_entry[[#This Row],[تاريخ التغذية الراجعة
mm/dd/yyyy]],"mmm-yy"))</f>
        <v/>
      </c>
    </row>
    <row r="166" spans="1:14" ht="20" customHeight="1" x14ac:dyDescent="0.35">
      <c r="A166" s="3">
        <v>164</v>
      </c>
      <c r="E166" s="3" t="str">
        <f>IF(data_entry[[#This Row],[تاريخ الشكوي
mm/dd/yyyy]]="","",IF(data_entry[[#This Row],[تاريخ الحل
mm/dd/yyyy]]="","جاري الحل","تم الحل"))</f>
        <v/>
      </c>
      <c r="I166" s="3" t="str">
        <f t="shared" si="2"/>
        <v/>
      </c>
      <c r="J166" s="3" t="str">
        <f>IF(data_entry[[#This Row],[زمن الحل(يوم)]]="", "", IF(data_entry[[#This Row],[زمن الحل(يوم)]]&lt;=3, IF(data_entry[[#This Row],[زمن الحل(يوم)]]&gt;0, "نعم", "لا"), "لا"))</f>
        <v/>
      </c>
      <c r="K16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6" s="11" t="str">
        <f>IF(data_entry[[#This Row],[تاريخ الشكوي
mm/dd/yyyy]]="","",TEXT(data_entry[[#This Row],[تاريخ الشكوي
mm/dd/yyyy]],"mmm-yyyy"))</f>
        <v/>
      </c>
      <c r="M166" s="5" t="str">
        <f>IF(data_entry[[#This Row],[تاريخ الحل
mm/dd/yyyy]]="","",TEXT(data_entry[[#This Row],[تاريخ الحل
mm/dd/yyyy]],"mmm-yyyy"))</f>
        <v/>
      </c>
      <c r="N166" s="21" t="str">
        <f>IF(data_entry[[#This Row],[تاريخ التغذية الراجعة
mm/dd/yyyy]]="","",TEXT(data_entry[[#This Row],[تاريخ التغذية الراجعة
mm/dd/yyyy]],"mmm-yy"))</f>
        <v/>
      </c>
    </row>
    <row r="167" spans="1:14" ht="20" customHeight="1" x14ac:dyDescent="0.35">
      <c r="A167" s="3">
        <v>165</v>
      </c>
      <c r="E167" s="3" t="str">
        <f>IF(data_entry[[#This Row],[تاريخ الشكوي
mm/dd/yyyy]]="","",IF(data_entry[[#This Row],[تاريخ الحل
mm/dd/yyyy]]="","جاري الحل","تم الحل"))</f>
        <v/>
      </c>
      <c r="I167" s="3" t="str">
        <f t="shared" si="2"/>
        <v/>
      </c>
      <c r="J167" s="3" t="str">
        <f>IF(data_entry[[#This Row],[زمن الحل(يوم)]]="", "", IF(data_entry[[#This Row],[زمن الحل(يوم)]]&lt;=3, IF(data_entry[[#This Row],[زمن الحل(يوم)]]&gt;0, "نعم", "لا"), "لا"))</f>
        <v/>
      </c>
      <c r="K16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7" s="11" t="str">
        <f>IF(data_entry[[#This Row],[تاريخ الشكوي
mm/dd/yyyy]]="","",TEXT(data_entry[[#This Row],[تاريخ الشكوي
mm/dd/yyyy]],"mmm-yyyy"))</f>
        <v/>
      </c>
      <c r="M167" s="5" t="str">
        <f>IF(data_entry[[#This Row],[تاريخ الحل
mm/dd/yyyy]]="","",TEXT(data_entry[[#This Row],[تاريخ الحل
mm/dd/yyyy]],"mmm-yyyy"))</f>
        <v/>
      </c>
      <c r="N167" s="21" t="str">
        <f>IF(data_entry[[#This Row],[تاريخ التغذية الراجعة
mm/dd/yyyy]]="","",TEXT(data_entry[[#This Row],[تاريخ التغذية الراجعة
mm/dd/yyyy]],"mmm-yy"))</f>
        <v/>
      </c>
    </row>
    <row r="168" spans="1:14" ht="20" customHeight="1" x14ac:dyDescent="0.35">
      <c r="A168" s="3">
        <v>166</v>
      </c>
      <c r="E168" s="3" t="str">
        <f>IF(data_entry[[#This Row],[تاريخ الشكوي
mm/dd/yyyy]]="","",IF(data_entry[[#This Row],[تاريخ الحل
mm/dd/yyyy]]="","جاري الحل","تم الحل"))</f>
        <v/>
      </c>
      <c r="I168" s="3" t="str">
        <f t="shared" si="2"/>
        <v/>
      </c>
      <c r="J168" s="3" t="str">
        <f>IF(data_entry[[#This Row],[زمن الحل(يوم)]]="", "", IF(data_entry[[#This Row],[زمن الحل(يوم)]]&lt;=3, IF(data_entry[[#This Row],[زمن الحل(يوم)]]&gt;0, "نعم", "لا"), "لا"))</f>
        <v/>
      </c>
      <c r="K16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8" s="11" t="str">
        <f>IF(data_entry[[#This Row],[تاريخ الشكوي
mm/dd/yyyy]]="","",TEXT(data_entry[[#This Row],[تاريخ الشكوي
mm/dd/yyyy]],"mmm-yyyy"))</f>
        <v/>
      </c>
      <c r="M168" s="5" t="str">
        <f>IF(data_entry[[#This Row],[تاريخ الحل
mm/dd/yyyy]]="","",TEXT(data_entry[[#This Row],[تاريخ الحل
mm/dd/yyyy]],"mmm-yyyy"))</f>
        <v/>
      </c>
      <c r="N168" s="21" t="str">
        <f>IF(data_entry[[#This Row],[تاريخ التغذية الراجعة
mm/dd/yyyy]]="","",TEXT(data_entry[[#This Row],[تاريخ التغذية الراجعة
mm/dd/yyyy]],"mmm-yy"))</f>
        <v/>
      </c>
    </row>
    <row r="169" spans="1:14" ht="20" customHeight="1" x14ac:dyDescent="0.35">
      <c r="A169" s="3">
        <v>167</v>
      </c>
      <c r="E169" s="3" t="str">
        <f>IF(data_entry[[#This Row],[تاريخ الشكوي
mm/dd/yyyy]]="","",IF(data_entry[[#This Row],[تاريخ الحل
mm/dd/yyyy]]="","جاري الحل","تم الحل"))</f>
        <v/>
      </c>
      <c r="I169" s="3" t="str">
        <f t="shared" si="2"/>
        <v/>
      </c>
      <c r="J169" s="3" t="str">
        <f>IF(data_entry[[#This Row],[زمن الحل(يوم)]]="", "", IF(data_entry[[#This Row],[زمن الحل(يوم)]]&lt;=3, IF(data_entry[[#This Row],[زمن الحل(يوم)]]&gt;0, "نعم", "لا"), "لا"))</f>
        <v/>
      </c>
      <c r="K16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69" s="11" t="str">
        <f>IF(data_entry[[#This Row],[تاريخ الشكوي
mm/dd/yyyy]]="","",TEXT(data_entry[[#This Row],[تاريخ الشكوي
mm/dd/yyyy]],"mmm-yyyy"))</f>
        <v/>
      </c>
      <c r="M169" s="5" t="str">
        <f>IF(data_entry[[#This Row],[تاريخ الحل
mm/dd/yyyy]]="","",TEXT(data_entry[[#This Row],[تاريخ الحل
mm/dd/yyyy]],"mmm-yyyy"))</f>
        <v/>
      </c>
      <c r="N169" s="21" t="str">
        <f>IF(data_entry[[#This Row],[تاريخ التغذية الراجعة
mm/dd/yyyy]]="","",TEXT(data_entry[[#This Row],[تاريخ التغذية الراجعة
mm/dd/yyyy]],"mmm-yy"))</f>
        <v/>
      </c>
    </row>
    <row r="170" spans="1:14" ht="20" customHeight="1" x14ac:dyDescent="0.35">
      <c r="A170" s="3">
        <v>168</v>
      </c>
      <c r="E170" s="3" t="str">
        <f>IF(data_entry[[#This Row],[تاريخ الشكوي
mm/dd/yyyy]]="","",IF(data_entry[[#This Row],[تاريخ الحل
mm/dd/yyyy]]="","جاري الحل","تم الحل"))</f>
        <v/>
      </c>
      <c r="I170" s="3" t="str">
        <f t="shared" si="2"/>
        <v/>
      </c>
      <c r="J170" s="3" t="str">
        <f>IF(data_entry[[#This Row],[زمن الحل(يوم)]]="", "", IF(data_entry[[#This Row],[زمن الحل(يوم)]]&lt;=3, IF(data_entry[[#This Row],[زمن الحل(يوم)]]&gt;0, "نعم", "لا"), "لا"))</f>
        <v/>
      </c>
      <c r="K17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0" s="11" t="str">
        <f>IF(data_entry[[#This Row],[تاريخ الشكوي
mm/dd/yyyy]]="","",TEXT(data_entry[[#This Row],[تاريخ الشكوي
mm/dd/yyyy]],"mmm-yyyy"))</f>
        <v/>
      </c>
      <c r="M170" s="5" t="str">
        <f>IF(data_entry[[#This Row],[تاريخ الحل
mm/dd/yyyy]]="","",TEXT(data_entry[[#This Row],[تاريخ الحل
mm/dd/yyyy]],"mmm-yyyy"))</f>
        <v/>
      </c>
      <c r="N170" s="21" t="str">
        <f>IF(data_entry[[#This Row],[تاريخ التغذية الراجعة
mm/dd/yyyy]]="","",TEXT(data_entry[[#This Row],[تاريخ التغذية الراجعة
mm/dd/yyyy]],"mmm-yy"))</f>
        <v/>
      </c>
    </row>
    <row r="171" spans="1:14" ht="20" customHeight="1" x14ac:dyDescent="0.35">
      <c r="A171" s="3">
        <v>169</v>
      </c>
      <c r="E171" s="3" t="str">
        <f>IF(data_entry[[#This Row],[تاريخ الشكوي
mm/dd/yyyy]]="","",IF(data_entry[[#This Row],[تاريخ الحل
mm/dd/yyyy]]="","جاري الحل","تم الحل"))</f>
        <v/>
      </c>
      <c r="I171" s="3" t="str">
        <f t="shared" si="2"/>
        <v/>
      </c>
      <c r="J171" s="3" t="str">
        <f>IF(data_entry[[#This Row],[زمن الحل(يوم)]]="", "", IF(data_entry[[#This Row],[زمن الحل(يوم)]]&lt;=3, IF(data_entry[[#This Row],[زمن الحل(يوم)]]&gt;0, "نعم", "لا"), "لا"))</f>
        <v/>
      </c>
      <c r="K17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1" s="11" t="str">
        <f>IF(data_entry[[#This Row],[تاريخ الشكوي
mm/dd/yyyy]]="","",TEXT(data_entry[[#This Row],[تاريخ الشكوي
mm/dd/yyyy]],"mmm-yyyy"))</f>
        <v/>
      </c>
      <c r="M171" s="5" t="str">
        <f>IF(data_entry[[#This Row],[تاريخ الحل
mm/dd/yyyy]]="","",TEXT(data_entry[[#This Row],[تاريخ الحل
mm/dd/yyyy]],"mmm-yyyy"))</f>
        <v/>
      </c>
      <c r="N171" s="21" t="str">
        <f>IF(data_entry[[#This Row],[تاريخ التغذية الراجعة
mm/dd/yyyy]]="","",TEXT(data_entry[[#This Row],[تاريخ التغذية الراجعة
mm/dd/yyyy]],"mmm-yy"))</f>
        <v/>
      </c>
    </row>
    <row r="172" spans="1:14" ht="20" customHeight="1" x14ac:dyDescent="0.35">
      <c r="A172" s="3">
        <v>170</v>
      </c>
      <c r="E172" s="3" t="str">
        <f>IF(data_entry[[#This Row],[تاريخ الشكوي
mm/dd/yyyy]]="","",IF(data_entry[[#This Row],[تاريخ الحل
mm/dd/yyyy]]="","جاري الحل","تم الحل"))</f>
        <v/>
      </c>
      <c r="I172" s="3" t="str">
        <f t="shared" si="2"/>
        <v/>
      </c>
      <c r="J172" s="3" t="str">
        <f>IF(data_entry[[#This Row],[زمن الحل(يوم)]]="", "", IF(data_entry[[#This Row],[زمن الحل(يوم)]]&lt;=3, IF(data_entry[[#This Row],[زمن الحل(يوم)]]&gt;0, "نعم", "لا"), "لا"))</f>
        <v/>
      </c>
      <c r="K17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2" s="11" t="str">
        <f>IF(data_entry[[#This Row],[تاريخ الشكوي
mm/dd/yyyy]]="","",TEXT(data_entry[[#This Row],[تاريخ الشكوي
mm/dd/yyyy]],"mmm-yyyy"))</f>
        <v/>
      </c>
      <c r="M172" s="5" t="str">
        <f>IF(data_entry[[#This Row],[تاريخ الحل
mm/dd/yyyy]]="","",TEXT(data_entry[[#This Row],[تاريخ الحل
mm/dd/yyyy]],"mmm-yyyy"))</f>
        <v/>
      </c>
      <c r="N172" s="21" t="str">
        <f>IF(data_entry[[#This Row],[تاريخ التغذية الراجعة
mm/dd/yyyy]]="","",TEXT(data_entry[[#This Row],[تاريخ التغذية الراجعة
mm/dd/yyyy]],"mmm-yy"))</f>
        <v/>
      </c>
    </row>
    <row r="173" spans="1:14" ht="20" customHeight="1" x14ac:dyDescent="0.35">
      <c r="A173" s="3">
        <v>171</v>
      </c>
      <c r="E173" s="3" t="str">
        <f>IF(data_entry[[#This Row],[تاريخ الشكوي
mm/dd/yyyy]]="","",IF(data_entry[[#This Row],[تاريخ الحل
mm/dd/yyyy]]="","جاري الحل","تم الحل"))</f>
        <v/>
      </c>
      <c r="I173" s="3" t="str">
        <f t="shared" si="2"/>
        <v/>
      </c>
      <c r="J173" s="3" t="str">
        <f>IF(data_entry[[#This Row],[زمن الحل(يوم)]]="", "", IF(data_entry[[#This Row],[زمن الحل(يوم)]]&lt;=3, IF(data_entry[[#This Row],[زمن الحل(يوم)]]&gt;0, "نعم", "لا"), "لا"))</f>
        <v/>
      </c>
      <c r="K17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3" s="11" t="str">
        <f>IF(data_entry[[#This Row],[تاريخ الشكوي
mm/dd/yyyy]]="","",TEXT(data_entry[[#This Row],[تاريخ الشكوي
mm/dd/yyyy]],"mmm-yyyy"))</f>
        <v/>
      </c>
      <c r="M173" s="5" t="str">
        <f>IF(data_entry[[#This Row],[تاريخ الحل
mm/dd/yyyy]]="","",TEXT(data_entry[[#This Row],[تاريخ الحل
mm/dd/yyyy]],"mmm-yyyy"))</f>
        <v/>
      </c>
      <c r="N173" s="21" t="str">
        <f>IF(data_entry[[#This Row],[تاريخ التغذية الراجعة
mm/dd/yyyy]]="","",TEXT(data_entry[[#This Row],[تاريخ التغذية الراجعة
mm/dd/yyyy]],"mmm-yy"))</f>
        <v/>
      </c>
    </row>
    <row r="174" spans="1:14" ht="20" customHeight="1" x14ac:dyDescent="0.35">
      <c r="A174" s="3">
        <v>172</v>
      </c>
      <c r="E174" s="3" t="str">
        <f>IF(data_entry[[#This Row],[تاريخ الشكوي
mm/dd/yyyy]]="","",IF(data_entry[[#This Row],[تاريخ الحل
mm/dd/yyyy]]="","جاري الحل","تم الحل"))</f>
        <v/>
      </c>
      <c r="I174" s="3" t="str">
        <f t="shared" si="2"/>
        <v/>
      </c>
      <c r="J174" s="3" t="str">
        <f>IF(data_entry[[#This Row],[زمن الحل(يوم)]]="", "", IF(data_entry[[#This Row],[زمن الحل(يوم)]]&lt;=3, IF(data_entry[[#This Row],[زمن الحل(يوم)]]&gt;0, "نعم", "لا"), "لا"))</f>
        <v/>
      </c>
      <c r="K17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4" s="11" t="str">
        <f>IF(data_entry[[#This Row],[تاريخ الشكوي
mm/dd/yyyy]]="","",TEXT(data_entry[[#This Row],[تاريخ الشكوي
mm/dd/yyyy]],"mmm-yyyy"))</f>
        <v/>
      </c>
      <c r="M174" s="5" t="str">
        <f>IF(data_entry[[#This Row],[تاريخ الحل
mm/dd/yyyy]]="","",TEXT(data_entry[[#This Row],[تاريخ الحل
mm/dd/yyyy]],"mmm-yyyy"))</f>
        <v/>
      </c>
      <c r="N174" s="21" t="str">
        <f>IF(data_entry[[#This Row],[تاريخ التغذية الراجعة
mm/dd/yyyy]]="","",TEXT(data_entry[[#This Row],[تاريخ التغذية الراجعة
mm/dd/yyyy]],"mmm-yy"))</f>
        <v/>
      </c>
    </row>
    <row r="175" spans="1:14" ht="20" customHeight="1" x14ac:dyDescent="0.35">
      <c r="A175" s="3">
        <v>173</v>
      </c>
      <c r="E175" s="3" t="str">
        <f>IF(data_entry[[#This Row],[تاريخ الشكوي
mm/dd/yyyy]]="","",IF(data_entry[[#This Row],[تاريخ الحل
mm/dd/yyyy]]="","جاري الحل","تم الحل"))</f>
        <v/>
      </c>
      <c r="I175" s="3" t="str">
        <f t="shared" si="2"/>
        <v/>
      </c>
      <c r="J175" s="3" t="str">
        <f>IF(data_entry[[#This Row],[زمن الحل(يوم)]]="", "", IF(data_entry[[#This Row],[زمن الحل(يوم)]]&lt;=3, IF(data_entry[[#This Row],[زمن الحل(يوم)]]&gt;0, "نعم", "لا"), "لا"))</f>
        <v/>
      </c>
      <c r="K17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5" s="11" t="str">
        <f>IF(data_entry[[#This Row],[تاريخ الشكوي
mm/dd/yyyy]]="","",TEXT(data_entry[[#This Row],[تاريخ الشكوي
mm/dd/yyyy]],"mmm-yyyy"))</f>
        <v/>
      </c>
      <c r="M175" s="5" t="str">
        <f>IF(data_entry[[#This Row],[تاريخ الحل
mm/dd/yyyy]]="","",TEXT(data_entry[[#This Row],[تاريخ الحل
mm/dd/yyyy]],"mmm-yyyy"))</f>
        <v/>
      </c>
      <c r="N175" s="21" t="str">
        <f>IF(data_entry[[#This Row],[تاريخ التغذية الراجعة
mm/dd/yyyy]]="","",TEXT(data_entry[[#This Row],[تاريخ التغذية الراجعة
mm/dd/yyyy]],"mmm-yy"))</f>
        <v/>
      </c>
    </row>
    <row r="176" spans="1:14" ht="20" customHeight="1" x14ac:dyDescent="0.35">
      <c r="A176" s="3">
        <v>174</v>
      </c>
      <c r="E176" s="3" t="str">
        <f>IF(data_entry[[#This Row],[تاريخ الشكوي
mm/dd/yyyy]]="","",IF(data_entry[[#This Row],[تاريخ الحل
mm/dd/yyyy]]="","جاري الحل","تم الحل"))</f>
        <v/>
      </c>
      <c r="I176" s="3" t="str">
        <f t="shared" si="2"/>
        <v/>
      </c>
      <c r="J176" s="3" t="str">
        <f>IF(data_entry[[#This Row],[زمن الحل(يوم)]]="", "", IF(data_entry[[#This Row],[زمن الحل(يوم)]]&lt;=3, IF(data_entry[[#This Row],[زمن الحل(يوم)]]&gt;0, "نعم", "لا"), "لا"))</f>
        <v/>
      </c>
      <c r="K17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6" s="11" t="str">
        <f>IF(data_entry[[#This Row],[تاريخ الشكوي
mm/dd/yyyy]]="","",TEXT(data_entry[[#This Row],[تاريخ الشكوي
mm/dd/yyyy]],"mmm-yyyy"))</f>
        <v/>
      </c>
      <c r="M176" s="5" t="str">
        <f>IF(data_entry[[#This Row],[تاريخ الحل
mm/dd/yyyy]]="","",TEXT(data_entry[[#This Row],[تاريخ الحل
mm/dd/yyyy]],"mmm-yyyy"))</f>
        <v/>
      </c>
      <c r="N176" s="21" t="str">
        <f>IF(data_entry[[#This Row],[تاريخ التغذية الراجعة
mm/dd/yyyy]]="","",TEXT(data_entry[[#This Row],[تاريخ التغذية الراجعة
mm/dd/yyyy]],"mmm-yy"))</f>
        <v/>
      </c>
    </row>
    <row r="177" spans="1:14" ht="20" customHeight="1" x14ac:dyDescent="0.35">
      <c r="A177" s="3">
        <v>175</v>
      </c>
      <c r="E177" s="3" t="str">
        <f>IF(data_entry[[#This Row],[تاريخ الشكوي
mm/dd/yyyy]]="","",IF(data_entry[[#This Row],[تاريخ الحل
mm/dd/yyyy]]="","جاري الحل","تم الحل"))</f>
        <v/>
      </c>
      <c r="I177" s="3" t="str">
        <f t="shared" si="2"/>
        <v/>
      </c>
      <c r="J177" s="3" t="str">
        <f>IF(data_entry[[#This Row],[زمن الحل(يوم)]]="", "", IF(data_entry[[#This Row],[زمن الحل(يوم)]]&lt;=3, IF(data_entry[[#This Row],[زمن الحل(يوم)]]&gt;0, "نعم", "لا"), "لا"))</f>
        <v/>
      </c>
      <c r="K17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7" s="11" t="str">
        <f>IF(data_entry[[#This Row],[تاريخ الشكوي
mm/dd/yyyy]]="","",TEXT(data_entry[[#This Row],[تاريخ الشكوي
mm/dd/yyyy]],"mmm-yyyy"))</f>
        <v/>
      </c>
      <c r="M177" s="5" t="str">
        <f>IF(data_entry[[#This Row],[تاريخ الحل
mm/dd/yyyy]]="","",TEXT(data_entry[[#This Row],[تاريخ الحل
mm/dd/yyyy]],"mmm-yyyy"))</f>
        <v/>
      </c>
      <c r="N177" s="21" t="str">
        <f>IF(data_entry[[#This Row],[تاريخ التغذية الراجعة
mm/dd/yyyy]]="","",TEXT(data_entry[[#This Row],[تاريخ التغذية الراجعة
mm/dd/yyyy]],"mmm-yy"))</f>
        <v/>
      </c>
    </row>
    <row r="178" spans="1:14" ht="20" customHeight="1" x14ac:dyDescent="0.35">
      <c r="A178" s="3">
        <v>176</v>
      </c>
      <c r="E178" s="3" t="str">
        <f>IF(data_entry[[#This Row],[تاريخ الشكوي
mm/dd/yyyy]]="","",IF(data_entry[[#This Row],[تاريخ الحل
mm/dd/yyyy]]="","جاري الحل","تم الحل"))</f>
        <v/>
      </c>
      <c r="I178" s="3" t="str">
        <f t="shared" si="2"/>
        <v/>
      </c>
      <c r="J178" s="3" t="str">
        <f>IF(data_entry[[#This Row],[زمن الحل(يوم)]]="", "", IF(data_entry[[#This Row],[زمن الحل(يوم)]]&lt;=3, IF(data_entry[[#This Row],[زمن الحل(يوم)]]&gt;0, "نعم", "لا"), "لا"))</f>
        <v/>
      </c>
      <c r="K17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8" s="11" t="str">
        <f>IF(data_entry[[#This Row],[تاريخ الشكوي
mm/dd/yyyy]]="","",TEXT(data_entry[[#This Row],[تاريخ الشكوي
mm/dd/yyyy]],"mmm-yyyy"))</f>
        <v/>
      </c>
      <c r="M178" s="5" t="str">
        <f>IF(data_entry[[#This Row],[تاريخ الحل
mm/dd/yyyy]]="","",TEXT(data_entry[[#This Row],[تاريخ الحل
mm/dd/yyyy]],"mmm-yyyy"))</f>
        <v/>
      </c>
      <c r="N178" s="21" t="str">
        <f>IF(data_entry[[#This Row],[تاريخ التغذية الراجعة
mm/dd/yyyy]]="","",TEXT(data_entry[[#This Row],[تاريخ التغذية الراجعة
mm/dd/yyyy]],"mmm-yy"))</f>
        <v/>
      </c>
    </row>
    <row r="179" spans="1:14" ht="20" customHeight="1" x14ac:dyDescent="0.35">
      <c r="A179" s="3">
        <v>177</v>
      </c>
      <c r="E179" s="3" t="str">
        <f>IF(data_entry[[#This Row],[تاريخ الشكوي
mm/dd/yyyy]]="","",IF(data_entry[[#This Row],[تاريخ الحل
mm/dd/yyyy]]="","جاري الحل","تم الحل"))</f>
        <v/>
      </c>
      <c r="I179" s="3" t="str">
        <f t="shared" si="2"/>
        <v/>
      </c>
      <c r="J179" s="3" t="str">
        <f>IF(data_entry[[#This Row],[زمن الحل(يوم)]]="", "", IF(data_entry[[#This Row],[زمن الحل(يوم)]]&lt;=3, IF(data_entry[[#This Row],[زمن الحل(يوم)]]&gt;0, "نعم", "لا"), "لا"))</f>
        <v/>
      </c>
      <c r="K17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79" s="11" t="str">
        <f>IF(data_entry[[#This Row],[تاريخ الشكوي
mm/dd/yyyy]]="","",TEXT(data_entry[[#This Row],[تاريخ الشكوي
mm/dd/yyyy]],"mmm-yyyy"))</f>
        <v/>
      </c>
      <c r="M179" s="5" t="str">
        <f>IF(data_entry[[#This Row],[تاريخ الحل
mm/dd/yyyy]]="","",TEXT(data_entry[[#This Row],[تاريخ الحل
mm/dd/yyyy]],"mmm-yyyy"))</f>
        <v/>
      </c>
      <c r="N179" s="21" t="str">
        <f>IF(data_entry[[#This Row],[تاريخ التغذية الراجعة
mm/dd/yyyy]]="","",TEXT(data_entry[[#This Row],[تاريخ التغذية الراجعة
mm/dd/yyyy]],"mmm-yy"))</f>
        <v/>
      </c>
    </row>
    <row r="180" spans="1:14" ht="20" customHeight="1" x14ac:dyDescent="0.35">
      <c r="A180" s="3">
        <v>178</v>
      </c>
      <c r="E180" s="3" t="str">
        <f>IF(data_entry[[#This Row],[تاريخ الشكوي
mm/dd/yyyy]]="","",IF(data_entry[[#This Row],[تاريخ الحل
mm/dd/yyyy]]="","جاري الحل","تم الحل"))</f>
        <v/>
      </c>
      <c r="I180" s="3" t="str">
        <f t="shared" si="2"/>
        <v/>
      </c>
      <c r="J180" s="3" t="str">
        <f>IF(data_entry[[#This Row],[زمن الحل(يوم)]]="", "", IF(data_entry[[#This Row],[زمن الحل(يوم)]]&lt;=3, IF(data_entry[[#This Row],[زمن الحل(يوم)]]&gt;0, "نعم", "لا"), "لا"))</f>
        <v/>
      </c>
      <c r="K18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0" s="11" t="str">
        <f>IF(data_entry[[#This Row],[تاريخ الشكوي
mm/dd/yyyy]]="","",TEXT(data_entry[[#This Row],[تاريخ الشكوي
mm/dd/yyyy]],"mmm-yyyy"))</f>
        <v/>
      </c>
      <c r="M180" s="5" t="str">
        <f>IF(data_entry[[#This Row],[تاريخ الحل
mm/dd/yyyy]]="","",TEXT(data_entry[[#This Row],[تاريخ الحل
mm/dd/yyyy]],"mmm-yyyy"))</f>
        <v/>
      </c>
      <c r="N180" s="21" t="str">
        <f>IF(data_entry[[#This Row],[تاريخ التغذية الراجعة
mm/dd/yyyy]]="","",TEXT(data_entry[[#This Row],[تاريخ التغذية الراجعة
mm/dd/yyyy]],"mmm-yy"))</f>
        <v/>
      </c>
    </row>
    <row r="181" spans="1:14" ht="20" customHeight="1" x14ac:dyDescent="0.35">
      <c r="A181" s="3">
        <v>179</v>
      </c>
      <c r="E181" s="3" t="str">
        <f>IF(data_entry[[#This Row],[تاريخ الشكوي
mm/dd/yyyy]]="","",IF(data_entry[[#This Row],[تاريخ الحل
mm/dd/yyyy]]="","جاري الحل","تم الحل"))</f>
        <v/>
      </c>
      <c r="I181" s="3" t="str">
        <f t="shared" si="2"/>
        <v/>
      </c>
      <c r="J181" s="3" t="str">
        <f>IF(data_entry[[#This Row],[زمن الحل(يوم)]]="", "", IF(data_entry[[#This Row],[زمن الحل(يوم)]]&lt;=3, IF(data_entry[[#This Row],[زمن الحل(يوم)]]&gt;0, "نعم", "لا"), "لا"))</f>
        <v/>
      </c>
      <c r="K18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1" s="11" t="str">
        <f>IF(data_entry[[#This Row],[تاريخ الشكوي
mm/dd/yyyy]]="","",TEXT(data_entry[[#This Row],[تاريخ الشكوي
mm/dd/yyyy]],"mmm-yyyy"))</f>
        <v/>
      </c>
      <c r="M181" s="5" t="str">
        <f>IF(data_entry[[#This Row],[تاريخ الحل
mm/dd/yyyy]]="","",TEXT(data_entry[[#This Row],[تاريخ الحل
mm/dd/yyyy]],"mmm-yyyy"))</f>
        <v/>
      </c>
      <c r="N181" s="21" t="str">
        <f>IF(data_entry[[#This Row],[تاريخ التغذية الراجعة
mm/dd/yyyy]]="","",TEXT(data_entry[[#This Row],[تاريخ التغذية الراجعة
mm/dd/yyyy]],"mmm-yy"))</f>
        <v/>
      </c>
    </row>
    <row r="182" spans="1:14" ht="20" customHeight="1" x14ac:dyDescent="0.35">
      <c r="A182" s="3">
        <v>180</v>
      </c>
      <c r="E182" s="3" t="str">
        <f>IF(data_entry[[#This Row],[تاريخ الشكوي
mm/dd/yyyy]]="","",IF(data_entry[[#This Row],[تاريخ الحل
mm/dd/yyyy]]="","جاري الحل","تم الحل"))</f>
        <v/>
      </c>
      <c r="I182" s="3" t="str">
        <f t="shared" si="2"/>
        <v/>
      </c>
      <c r="J182" s="3" t="str">
        <f>IF(data_entry[[#This Row],[زمن الحل(يوم)]]="", "", IF(data_entry[[#This Row],[زمن الحل(يوم)]]&lt;=3, IF(data_entry[[#This Row],[زمن الحل(يوم)]]&gt;0, "نعم", "لا"), "لا"))</f>
        <v/>
      </c>
      <c r="K18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2" s="11" t="str">
        <f>IF(data_entry[[#This Row],[تاريخ الشكوي
mm/dd/yyyy]]="","",TEXT(data_entry[[#This Row],[تاريخ الشكوي
mm/dd/yyyy]],"mmm-yyyy"))</f>
        <v/>
      </c>
      <c r="M182" s="5" t="str">
        <f>IF(data_entry[[#This Row],[تاريخ الحل
mm/dd/yyyy]]="","",TEXT(data_entry[[#This Row],[تاريخ الحل
mm/dd/yyyy]],"mmm-yyyy"))</f>
        <v/>
      </c>
      <c r="N182" s="21" t="str">
        <f>IF(data_entry[[#This Row],[تاريخ التغذية الراجعة
mm/dd/yyyy]]="","",TEXT(data_entry[[#This Row],[تاريخ التغذية الراجعة
mm/dd/yyyy]],"mmm-yy"))</f>
        <v/>
      </c>
    </row>
    <row r="183" spans="1:14" ht="20" customHeight="1" x14ac:dyDescent="0.35">
      <c r="A183" s="3">
        <v>181</v>
      </c>
      <c r="E183" s="3" t="str">
        <f>IF(data_entry[[#This Row],[تاريخ الشكوي
mm/dd/yyyy]]="","",IF(data_entry[[#This Row],[تاريخ الحل
mm/dd/yyyy]]="","جاري الحل","تم الحل"))</f>
        <v/>
      </c>
      <c r="I183" s="3" t="str">
        <f t="shared" si="2"/>
        <v/>
      </c>
      <c r="J183" s="3" t="str">
        <f>IF(data_entry[[#This Row],[زمن الحل(يوم)]]="", "", IF(data_entry[[#This Row],[زمن الحل(يوم)]]&lt;=3, IF(data_entry[[#This Row],[زمن الحل(يوم)]]&gt;0, "نعم", "لا"), "لا"))</f>
        <v/>
      </c>
      <c r="K18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3" s="11" t="str">
        <f>IF(data_entry[[#This Row],[تاريخ الشكوي
mm/dd/yyyy]]="","",TEXT(data_entry[[#This Row],[تاريخ الشكوي
mm/dd/yyyy]],"mmm-yyyy"))</f>
        <v/>
      </c>
      <c r="M183" s="5" t="str">
        <f>IF(data_entry[[#This Row],[تاريخ الحل
mm/dd/yyyy]]="","",TEXT(data_entry[[#This Row],[تاريخ الحل
mm/dd/yyyy]],"mmm-yyyy"))</f>
        <v/>
      </c>
      <c r="N183" s="21" t="str">
        <f>IF(data_entry[[#This Row],[تاريخ التغذية الراجعة
mm/dd/yyyy]]="","",TEXT(data_entry[[#This Row],[تاريخ التغذية الراجعة
mm/dd/yyyy]],"mmm-yy"))</f>
        <v/>
      </c>
    </row>
    <row r="184" spans="1:14" ht="20" customHeight="1" x14ac:dyDescent="0.35">
      <c r="A184" s="3">
        <v>182</v>
      </c>
      <c r="E184" s="3" t="str">
        <f>IF(data_entry[[#This Row],[تاريخ الشكوي
mm/dd/yyyy]]="","",IF(data_entry[[#This Row],[تاريخ الحل
mm/dd/yyyy]]="","جاري الحل","تم الحل"))</f>
        <v/>
      </c>
      <c r="I184" s="3" t="str">
        <f t="shared" si="2"/>
        <v/>
      </c>
      <c r="J184" s="3" t="str">
        <f>IF(data_entry[[#This Row],[زمن الحل(يوم)]]="", "", IF(data_entry[[#This Row],[زمن الحل(يوم)]]&lt;=3, IF(data_entry[[#This Row],[زمن الحل(يوم)]]&gt;0, "نعم", "لا"), "لا"))</f>
        <v/>
      </c>
      <c r="K18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4" s="11" t="str">
        <f>IF(data_entry[[#This Row],[تاريخ الشكوي
mm/dd/yyyy]]="","",TEXT(data_entry[[#This Row],[تاريخ الشكوي
mm/dd/yyyy]],"mmm-yyyy"))</f>
        <v/>
      </c>
      <c r="M184" s="5" t="str">
        <f>IF(data_entry[[#This Row],[تاريخ الحل
mm/dd/yyyy]]="","",TEXT(data_entry[[#This Row],[تاريخ الحل
mm/dd/yyyy]],"mmm-yyyy"))</f>
        <v/>
      </c>
      <c r="N184" s="21" t="str">
        <f>IF(data_entry[[#This Row],[تاريخ التغذية الراجعة
mm/dd/yyyy]]="","",TEXT(data_entry[[#This Row],[تاريخ التغذية الراجعة
mm/dd/yyyy]],"mmm-yy"))</f>
        <v/>
      </c>
    </row>
    <row r="185" spans="1:14" ht="20" customHeight="1" x14ac:dyDescent="0.35">
      <c r="A185" s="3">
        <v>183</v>
      </c>
      <c r="E185" s="3" t="str">
        <f>IF(data_entry[[#This Row],[تاريخ الشكوي
mm/dd/yyyy]]="","",IF(data_entry[[#This Row],[تاريخ الحل
mm/dd/yyyy]]="","جاري الحل","تم الحل"))</f>
        <v/>
      </c>
      <c r="I185" s="3" t="str">
        <f t="shared" si="2"/>
        <v/>
      </c>
      <c r="J185" s="3" t="str">
        <f>IF(data_entry[[#This Row],[زمن الحل(يوم)]]="", "", IF(data_entry[[#This Row],[زمن الحل(يوم)]]&lt;=3, IF(data_entry[[#This Row],[زمن الحل(يوم)]]&gt;0, "نعم", "لا"), "لا"))</f>
        <v/>
      </c>
      <c r="K18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5" s="11" t="str">
        <f>IF(data_entry[[#This Row],[تاريخ الشكوي
mm/dd/yyyy]]="","",TEXT(data_entry[[#This Row],[تاريخ الشكوي
mm/dd/yyyy]],"mmm-yyyy"))</f>
        <v/>
      </c>
      <c r="M185" s="5" t="str">
        <f>IF(data_entry[[#This Row],[تاريخ الحل
mm/dd/yyyy]]="","",TEXT(data_entry[[#This Row],[تاريخ الحل
mm/dd/yyyy]],"mmm-yyyy"))</f>
        <v/>
      </c>
      <c r="N185" s="21" t="str">
        <f>IF(data_entry[[#This Row],[تاريخ التغذية الراجعة
mm/dd/yyyy]]="","",TEXT(data_entry[[#This Row],[تاريخ التغذية الراجعة
mm/dd/yyyy]],"mmm-yy"))</f>
        <v/>
      </c>
    </row>
    <row r="186" spans="1:14" ht="20" customHeight="1" x14ac:dyDescent="0.35">
      <c r="A186" s="3">
        <v>184</v>
      </c>
      <c r="E186" s="3" t="str">
        <f>IF(data_entry[[#This Row],[تاريخ الشكوي
mm/dd/yyyy]]="","",IF(data_entry[[#This Row],[تاريخ الحل
mm/dd/yyyy]]="","جاري الحل","تم الحل"))</f>
        <v/>
      </c>
      <c r="I186" s="3" t="str">
        <f t="shared" si="2"/>
        <v/>
      </c>
      <c r="J186" s="3" t="str">
        <f>IF(data_entry[[#This Row],[زمن الحل(يوم)]]="", "", IF(data_entry[[#This Row],[زمن الحل(يوم)]]&lt;=3, IF(data_entry[[#This Row],[زمن الحل(يوم)]]&gt;0, "نعم", "لا"), "لا"))</f>
        <v/>
      </c>
      <c r="K18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6" s="11" t="str">
        <f>IF(data_entry[[#This Row],[تاريخ الشكوي
mm/dd/yyyy]]="","",TEXT(data_entry[[#This Row],[تاريخ الشكوي
mm/dd/yyyy]],"mmm-yyyy"))</f>
        <v/>
      </c>
      <c r="M186" s="5" t="str">
        <f>IF(data_entry[[#This Row],[تاريخ الحل
mm/dd/yyyy]]="","",TEXT(data_entry[[#This Row],[تاريخ الحل
mm/dd/yyyy]],"mmm-yyyy"))</f>
        <v/>
      </c>
      <c r="N186" s="21" t="str">
        <f>IF(data_entry[[#This Row],[تاريخ التغذية الراجعة
mm/dd/yyyy]]="","",TEXT(data_entry[[#This Row],[تاريخ التغذية الراجعة
mm/dd/yyyy]],"mmm-yy"))</f>
        <v/>
      </c>
    </row>
    <row r="187" spans="1:14" ht="20" customHeight="1" x14ac:dyDescent="0.35">
      <c r="A187" s="3">
        <v>185</v>
      </c>
      <c r="E187" s="3" t="str">
        <f>IF(data_entry[[#This Row],[تاريخ الشكوي
mm/dd/yyyy]]="","",IF(data_entry[[#This Row],[تاريخ الحل
mm/dd/yyyy]]="","جاري الحل","تم الحل"))</f>
        <v/>
      </c>
      <c r="I187" s="3" t="str">
        <f t="shared" si="2"/>
        <v/>
      </c>
      <c r="J187" s="3" t="str">
        <f>IF(data_entry[[#This Row],[زمن الحل(يوم)]]="", "", IF(data_entry[[#This Row],[زمن الحل(يوم)]]&lt;=3, IF(data_entry[[#This Row],[زمن الحل(يوم)]]&gt;0, "نعم", "لا"), "لا"))</f>
        <v/>
      </c>
      <c r="K18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7" s="11" t="str">
        <f>IF(data_entry[[#This Row],[تاريخ الشكوي
mm/dd/yyyy]]="","",TEXT(data_entry[[#This Row],[تاريخ الشكوي
mm/dd/yyyy]],"mmm-yyyy"))</f>
        <v/>
      </c>
      <c r="M187" s="5" t="str">
        <f>IF(data_entry[[#This Row],[تاريخ الحل
mm/dd/yyyy]]="","",TEXT(data_entry[[#This Row],[تاريخ الحل
mm/dd/yyyy]],"mmm-yyyy"))</f>
        <v/>
      </c>
      <c r="N187" s="21" t="str">
        <f>IF(data_entry[[#This Row],[تاريخ التغذية الراجعة
mm/dd/yyyy]]="","",TEXT(data_entry[[#This Row],[تاريخ التغذية الراجعة
mm/dd/yyyy]],"mmm-yy"))</f>
        <v/>
      </c>
    </row>
    <row r="188" spans="1:14" ht="20" customHeight="1" x14ac:dyDescent="0.35">
      <c r="A188" s="3">
        <v>186</v>
      </c>
      <c r="E188" s="3" t="str">
        <f>IF(data_entry[[#This Row],[تاريخ الشكوي
mm/dd/yyyy]]="","",IF(data_entry[[#This Row],[تاريخ الحل
mm/dd/yyyy]]="","جاري الحل","تم الحل"))</f>
        <v/>
      </c>
      <c r="I188" s="3" t="str">
        <f t="shared" si="2"/>
        <v/>
      </c>
      <c r="J188" s="3" t="str">
        <f>IF(data_entry[[#This Row],[زمن الحل(يوم)]]="", "", IF(data_entry[[#This Row],[زمن الحل(يوم)]]&lt;=3, IF(data_entry[[#This Row],[زمن الحل(يوم)]]&gt;0, "نعم", "لا"), "لا"))</f>
        <v/>
      </c>
      <c r="K18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8" s="11" t="str">
        <f>IF(data_entry[[#This Row],[تاريخ الشكوي
mm/dd/yyyy]]="","",TEXT(data_entry[[#This Row],[تاريخ الشكوي
mm/dd/yyyy]],"mmm-yyyy"))</f>
        <v/>
      </c>
      <c r="M188" s="5" t="str">
        <f>IF(data_entry[[#This Row],[تاريخ الحل
mm/dd/yyyy]]="","",TEXT(data_entry[[#This Row],[تاريخ الحل
mm/dd/yyyy]],"mmm-yyyy"))</f>
        <v/>
      </c>
      <c r="N188" s="21" t="str">
        <f>IF(data_entry[[#This Row],[تاريخ التغذية الراجعة
mm/dd/yyyy]]="","",TEXT(data_entry[[#This Row],[تاريخ التغذية الراجعة
mm/dd/yyyy]],"mmm-yy"))</f>
        <v/>
      </c>
    </row>
    <row r="189" spans="1:14" ht="20" customHeight="1" x14ac:dyDescent="0.35">
      <c r="A189" s="3">
        <v>187</v>
      </c>
      <c r="E189" s="3" t="str">
        <f>IF(data_entry[[#This Row],[تاريخ الشكوي
mm/dd/yyyy]]="","",IF(data_entry[[#This Row],[تاريخ الحل
mm/dd/yyyy]]="","جاري الحل","تم الحل"))</f>
        <v/>
      </c>
      <c r="I189" s="3" t="str">
        <f t="shared" si="2"/>
        <v/>
      </c>
      <c r="J189" s="3" t="str">
        <f>IF(data_entry[[#This Row],[زمن الحل(يوم)]]="", "", IF(data_entry[[#This Row],[زمن الحل(يوم)]]&lt;=3, IF(data_entry[[#This Row],[زمن الحل(يوم)]]&gt;0, "نعم", "لا"), "لا"))</f>
        <v/>
      </c>
      <c r="K18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89" s="11" t="str">
        <f>IF(data_entry[[#This Row],[تاريخ الشكوي
mm/dd/yyyy]]="","",TEXT(data_entry[[#This Row],[تاريخ الشكوي
mm/dd/yyyy]],"mmm-yyyy"))</f>
        <v/>
      </c>
      <c r="M189" s="5" t="str">
        <f>IF(data_entry[[#This Row],[تاريخ الحل
mm/dd/yyyy]]="","",TEXT(data_entry[[#This Row],[تاريخ الحل
mm/dd/yyyy]],"mmm-yyyy"))</f>
        <v/>
      </c>
      <c r="N189" s="21" t="str">
        <f>IF(data_entry[[#This Row],[تاريخ التغذية الراجعة
mm/dd/yyyy]]="","",TEXT(data_entry[[#This Row],[تاريخ التغذية الراجعة
mm/dd/yyyy]],"mmm-yy"))</f>
        <v/>
      </c>
    </row>
    <row r="190" spans="1:14" ht="20" customHeight="1" x14ac:dyDescent="0.35">
      <c r="A190" s="3">
        <v>188</v>
      </c>
      <c r="E190" s="3" t="str">
        <f>IF(data_entry[[#This Row],[تاريخ الشكوي
mm/dd/yyyy]]="","",IF(data_entry[[#This Row],[تاريخ الحل
mm/dd/yyyy]]="","جاري الحل","تم الحل"))</f>
        <v/>
      </c>
      <c r="I190" s="3" t="str">
        <f t="shared" si="2"/>
        <v/>
      </c>
      <c r="J190" s="3" t="str">
        <f>IF(data_entry[[#This Row],[زمن الحل(يوم)]]="", "", IF(data_entry[[#This Row],[زمن الحل(يوم)]]&lt;=3, IF(data_entry[[#This Row],[زمن الحل(يوم)]]&gt;0, "نعم", "لا"), "لا"))</f>
        <v/>
      </c>
      <c r="K19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0" s="11" t="str">
        <f>IF(data_entry[[#This Row],[تاريخ الشكوي
mm/dd/yyyy]]="","",TEXT(data_entry[[#This Row],[تاريخ الشكوي
mm/dd/yyyy]],"mmm-yyyy"))</f>
        <v/>
      </c>
      <c r="M190" s="5" t="str">
        <f>IF(data_entry[[#This Row],[تاريخ الحل
mm/dd/yyyy]]="","",TEXT(data_entry[[#This Row],[تاريخ الحل
mm/dd/yyyy]],"mmm-yyyy"))</f>
        <v/>
      </c>
      <c r="N190" s="21" t="str">
        <f>IF(data_entry[[#This Row],[تاريخ التغذية الراجعة
mm/dd/yyyy]]="","",TEXT(data_entry[[#This Row],[تاريخ التغذية الراجعة
mm/dd/yyyy]],"mmm-yy"))</f>
        <v/>
      </c>
    </row>
    <row r="191" spans="1:14" ht="20" customHeight="1" x14ac:dyDescent="0.35">
      <c r="A191" s="3">
        <v>189</v>
      </c>
      <c r="E191" s="3" t="str">
        <f>IF(data_entry[[#This Row],[تاريخ الشكوي
mm/dd/yyyy]]="","",IF(data_entry[[#This Row],[تاريخ الحل
mm/dd/yyyy]]="","جاري الحل","تم الحل"))</f>
        <v/>
      </c>
      <c r="I191" s="3" t="str">
        <f t="shared" si="2"/>
        <v/>
      </c>
      <c r="J191" s="3" t="str">
        <f>IF(data_entry[[#This Row],[زمن الحل(يوم)]]="", "", IF(data_entry[[#This Row],[زمن الحل(يوم)]]&lt;=3, IF(data_entry[[#This Row],[زمن الحل(يوم)]]&gt;0, "نعم", "لا"), "لا"))</f>
        <v/>
      </c>
      <c r="K19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1" s="11" t="str">
        <f>IF(data_entry[[#This Row],[تاريخ الشكوي
mm/dd/yyyy]]="","",TEXT(data_entry[[#This Row],[تاريخ الشكوي
mm/dd/yyyy]],"mmm-yyyy"))</f>
        <v/>
      </c>
      <c r="M191" s="5" t="str">
        <f>IF(data_entry[[#This Row],[تاريخ الحل
mm/dd/yyyy]]="","",TEXT(data_entry[[#This Row],[تاريخ الحل
mm/dd/yyyy]],"mmm-yyyy"))</f>
        <v/>
      </c>
      <c r="N191" s="21" t="str">
        <f>IF(data_entry[[#This Row],[تاريخ التغذية الراجعة
mm/dd/yyyy]]="","",TEXT(data_entry[[#This Row],[تاريخ التغذية الراجعة
mm/dd/yyyy]],"mmm-yy"))</f>
        <v/>
      </c>
    </row>
    <row r="192" spans="1:14" ht="20" customHeight="1" x14ac:dyDescent="0.35">
      <c r="A192" s="3">
        <v>190</v>
      </c>
      <c r="E192" s="3" t="str">
        <f>IF(data_entry[[#This Row],[تاريخ الشكوي
mm/dd/yyyy]]="","",IF(data_entry[[#This Row],[تاريخ الحل
mm/dd/yyyy]]="","جاري الحل","تم الحل"))</f>
        <v/>
      </c>
      <c r="I192" s="3" t="str">
        <f t="shared" si="2"/>
        <v/>
      </c>
      <c r="J192" s="3" t="str">
        <f>IF(data_entry[[#This Row],[زمن الحل(يوم)]]="", "", IF(data_entry[[#This Row],[زمن الحل(يوم)]]&lt;=3, IF(data_entry[[#This Row],[زمن الحل(يوم)]]&gt;0, "نعم", "لا"), "لا"))</f>
        <v/>
      </c>
      <c r="K19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2" s="11" t="str">
        <f>IF(data_entry[[#This Row],[تاريخ الشكوي
mm/dd/yyyy]]="","",TEXT(data_entry[[#This Row],[تاريخ الشكوي
mm/dd/yyyy]],"mmm-yyyy"))</f>
        <v/>
      </c>
      <c r="M192" s="5" t="str">
        <f>IF(data_entry[[#This Row],[تاريخ الحل
mm/dd/yyyy]]="","",TEXT(data_entry[[#This Row],[تاريخ الحل
mm/dd/yyyy]],"mmm-yyyy"))</f>
        <v/>
      </c>
      <c r="N192" s="21" t="str">
        <f>IF(data_entry[[#This Row],[تاريخ التغذية الراجعة
mm/dd/yyyy]]="","",TEXT(data_entry[[#This Row],[تاريخ التغذية الراجعة
mm/dd/yyyy]],"mmm-yy"))</f>
        <v/>
      </c>
    </row>
    <row r="193" spans="1:14" ht="20" customHeight="1" x14ac:dyDescent="0.35">
      <c r="A193" s="3">
        <v>191</v>
      </c>
      <c r="E193" s="3" t="str">
        <f>IF(data_entry[[#This Row],[تاريخ الشكوي
mm/dd/yyyy]]="","",IF(data_entry[[#This Row],[تاريخ الحل
mm/dd/yyyy]]="","جاري الحل","تم الحل"))</f>
        <v/>
      </c>
      <c r="I193" s="3" t="str">
        <f t="shared" si="2"/>
        <v/>
      </c>
      <c r="J193" s="3" t="str">
        <f>IF(data_entry[[#This Row],[زمن الحل(يوم)]]="", "", IF(data_entry[[#This Row],[زمن الحل(يوم)]]&lt;=3, IF(data_entry[[#This Row],[زمن الحل(يوم)]]&gt;0, "نعم", "لا"), "لا"))</f>
        <v/>
      </c>
      <c r="K19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3" s="11" t="str">
        <f>IF(data_entry[[#This Row],[تاريخ الشكوي
mm/dd/yyyy]]="","",TEXT(data_entry[[#This Row],[تاريخ الشكوي
mm/dd/yyyy]],"mmm-yyyy"))</f>
        <v/>
      </c>
      <c r="M193" s="5" t="str">
        <f>IF(data_entry[[#This Row],[تاريخ الحل
mm/dd/yyyy]]="","",TEXT(data_entry[[#This Row],[تاريخ الحل
mm/dd/yyyy]],"mmm-yyyy"))</f>
        <v/>
      </c>
      <c r="N193" s="21" t="str">
        <f>IF(data_entry[[#This Row],[تاريخ التغذية الراجعة
mm/dd/yyyy]]="","",TEXT(data_entry[[#This Row],[تاريخ التغذية الراجعة
mm/dd/yyyy]],"mmm-yy"))</f>
        <v/>
      </c>
    </row>
    <row r="194" spans="1:14" ht="20" customHeight="1" x14ac:dyDescent="0.35">
      <c r="A194" s="3">
        <v>192</v>
      </c>
      <c r="E194" s="3" t="str">
        <f>IF(data_entry[[#This Row],[تاريخ الشكوي
mm/dd/yyyy]]="","",IF(data_entry[[#This Row],[تاريخ الحل
mm/dd/yyyy]]="","جاري الحل","تم الحل"))</f>
        <v/>
      </c>
      <c r="I194" s="3" t="str">
        <f t="shared" si="2"/>
        <v/>
      </c>
      <c r="J194" s="3" t="str">
        <f>IF(data_entry[[#This Row],[زمن الحل(يوم)]]="", "", IF(data_entry[[#This Row],[زمن الحل(يوم)]]&lt;=3, IF(data_entry[[#This Row],[زمن الحل(يوم)]]&gt;0, "نعم", "لا"), "لا"))</f>
        <v/>
      </c>
      <c r="K19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4" s="11" t="str">
        <f>IF(data_entry[[#This Row],[تاريخ الشكوي
mm/dd/yyyy]]="","",TEXT(data_entry[[#This Row],[تاريخ الشكوي
mm/dd/yyyy]],"mmm-yyyy"))</f>
        <v/>
      </c>
      <c r="M194" s="5" t="str">
        <f>IF(data_entry[[#This Row],[تاريخ الحل
mm/dd/yyyy]]="","",TEXT(data_entry[[#This Row],[تاريخ الحل
mm/dd/yyyy]],"mmm-yyyy"))</f>
        <v/>
      </c>
      <c r="N194" s="21" t="str">
        <f>IF(data_entry[[#This Row],[تاريخ التغذية الراجعة
mm/dd/yyyy]]="","",TEXT(data_entry[[#This Row],[تاريخ التغذية الراجعة
mm/dd/yyyy]],"mmm-yy"))</f>
        <v/>
      </c>
    </row>
    <row r="195" spans="1:14" ht="20" customHeight="1" x14ac:dyDescent="0.35">
      <c r="A195" s="3">
        <v>193</v>
      </c>
      <c r="E195" s="3" t="str">
        <f>IF(data_entry[[#This Row],[تاريخ الشكوي
mm/dd/yyyy]]="","",IF(data_entry[[#This Row],[تاريخ الحل
mm/dd/yyyy]]="","جاري الحل","تم الحل"))</f>
        <v/>
      </c>
      <c r="I195" s="3" t="str">
        <f t="shared" si="2"/>
        <v/>
      </c>
      <c r="J195" s="3" t="str">
        <f>IF(data_entry[[#This Row],[زمن الحل(يوم)]]="", "", IF(data_entry[[#This Row],[زمن الحل(يوم)]]&lt;=3, IF(data_entry[[#This Row],[زمن الحل(يوم)]]&gt;0, "نعم", "لا"), "لا"))</f>
        <v/>
      </c>
      <c r="K19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5" s="11" t="str">
        <f>IF(data_entry[[#This Row],[تاريخ الشكوي
mm/dd/yyyy]]="","",TEXT(data_entry[[#This Row],[تاريخ الشكوي
mm/dd/yyyy]],"mmm-yyyy"))</f>
        <v/>
      </c>
      <c r="M195" s="5" t="str">
        <f>IF(data_entry[[#This Row],[تاريخ الحل
mm/dd/yyyy]]="","",TEXT(data_entry[[#This Row],[تاريخ الحل
mm/dd/yyyy]],"mmm-yyyy"))</f>
        <v/>
      </c>
      <c r="N195" s="21" t="str">
        <f>IF(data_entry[[#This Row],[تاريخ التغذية الراجعة
mm/dd/yyyy]]="","",TEXT(data_entry[[#This Row],[تاريخ التغذية الراجعة
mm/dd/yyyy]],"mmm-yy"))</f>
        <v/>
      </c>
    </row>
    <row r="196" spans="1:14" ht="20" customHeight="1" x14ac:dyDescent="0.35">
      <c r="A196" s="3">
        <v>194</v>
      </c>
      <c r="E196" s="3" t="str">
        <f>IF(data_entry[[#This Row],[تاريخ الشكوي
mm/dd/yyyy]]="","",IF(data_entry[[#This Row],[تاريخ الحل
mm/dd/yyyy]]="","جاري الحل","تم الحل"))</f>
        <v/>
      </c>
      <c r="I196" s="3" t="str">
        <f t="shared" ref="I196:I259" si="3">IF(K196="","",IF(K196=0,"نعم","لا"))</f>
        <v/>
      </c>
      <c r="J196" s="3" t="str">
        <f>IF(data_entry[[#This Row],[زمن الحل(يوم)]]="", "", IF(data_entry[[#This Row],[زمن الحل(يوم)]]&lt;=3, IF(data_entry[[#This Row],[زمن الحل(يوم)]]&gt;0, "نعم", "لا"), "لا"))</f>
        <v/>
      </c>
      <c r="K19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6" s="11" t="str">
        <f>IF(data_entry[[#This Row],[تاريخ الشكوي
mm/dd/yyyy]]="","",TEXT(data_entry[[#This Row],[تاريخ الشكوي
mm/dd/yyyy]],"mmm-yyyy"))</f>
        <v/>
      </c>
      <c r="M196" s="5" t="str">
        <f>IF(data_entry[[#This Row],[تاريخ الحل
mm/dd/yyyy]]="","",TEXT(data_entry[[#This Row],[تاريخ الحل
mm/dd/yyyy]],"mmm-yyyy"))</f>
        <v/>
      </c>
      <c r="N196" s="21" t="str">
        <f>IF(data_entry[[#This Row],[تاريخ التغذية الراجعة
mm/dd/yyyy]]="","",TEXT(data_entry[[#This Row],[تاريخ التغذية الراجعة
mm/dd/yyyy]],"mmm-yy"))</f>
        <v/>
      </c>
    </row>
    <row r="197" spans="1:14" ht="20" customHeight="1" x14ac:dyDescent="0.35">
      <c r="A197" s="3">
        <v>195</v>
      </c>
      <c r="E197" s="3" t="str">
        <f>IF(data_entry[[#This Row],[تاريخ الشكوي
mm/dd/yyyy]]="","",IF(data_entry[[#This Row],[تاريخ الحل
mm/dd/yyyy]]="","جاري الحل","تم الحل"))</f>
        <v/>
      </c>
      <c r="I197" s="3" t="str">
        <f t="shared" si="3"/>
        <v/>
      </c>
      <c r="J197" s="3" t="str">
        <f>IF(data_entry[[#This Row],[زمن الحل(يوم)]]="", "", IF(data_entry[[#This Row],[زمن الحل(يوم)]]&lt;=3, IF(data_entry[[#This Row],[زمن الحل(يوم)]]&gt;0, "نعم", "لا"), "لا"))</f>
        <v/>
      </c>
      <c r="K19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7" s="11" t="str">
        <f>IF(data_entry[[#This Row],[تاريخ الشكوي
mm/dd/yyyy]]="","",TEXT(data_entry[[#This Row],[تاريخ الشكوي
mm/dd/yyyy]],"mmm-yyyy"))</f>
        <v/>
      </c>
      <c r="M197" s="5" t="str">
        <f>IF(data_entry[[#This Row],[تاريخ الحل
mm/dd/yyyy]]="","",TEXT(data_entry[[#This Row],[تاريخ الحل
mm/dd/yyyy]],"mmm-yyyy"))</f>
        <v/>
      </c>
      <c r="N197" s="21" t="str">
        <f>IF(data_entry[[#This Row],[تاريخ التغذية الراجعة
mm/dd/yyyy]]="","",TEXT(data_entry[[#This Row],[تاريخ التغذية الراجعة
mm/dd/yyyy]],"mmm-yy"))</f>
        <v/>
      </c>
    </row>
    <row r="198" spans="1:14" ht="20" customHeight="1" x14ac:dyDescent="0.35">
      <c r="A198" s="3">
        <v>196</v>
      </c>
      <c r="E198" s="3" t="str">
        <f>IF(data_entry[[#This Row],[تاريخ الشكوي
mm/dd/yyyy]]="","",IF(data_entry[[#This Row],[تاريخ الحل
mm/dd/yyyy]]="","جاري الحل","تم الحل"))</f>
        <v/>
      </c>
      <c r="I198" s="3" t="str">
        <f t="shared" si="3"/>
        <v/>
      </c>
      <c r="J198" s="3" t="str">
        <f>IF(data_entry[[#This Row],[زمن الحل(يوم)]]="", "", IF(data_entry[[#This Row],[زمن الحل(يوم)]]&lt;=3, IF(data_entry[[#This Row],[زمن الحل(يوم)]]&gt;0, "نعم", "لا"), "لا"))</f>
        <v/>
      </c>
      <c r="K19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8" s="11" t="str">
        <f>IF(data_entry[[#This Row],[تاريخ الشكوي
mm/dd/yyyy]]="","",TEXT(data_entry[[#This Row],[تاريخ الشكوي
mm/dd/yyyy]],"mmm-yyyy"))</f>
        <v/>
      </c>
      <c r="M198" s="5" t="str">
        <f>IF(data_entry[[#This Row],[تاريخ الحل
mm/dd/yyyy]]="","",TEXT(data_entry[[#This Row],[تاريخ الحل
mm/dd/yyyy]],"mmm-yyyy"))</f>
        <v/>
      </c>
      <c r="N198" s="21" t="str">
        <f>IF(data_entry[[#This Row],[تاريخ التغذية الراجعة
mm/dd/yyyy]]="","",TEXT(data_entry[[#This Row],[تاريخ التغذية الراجعة
mm/dd/yyyy]],"mmm-yy"))</f>
        <v/>
      </c>
    </row>
    <row r="199" spans="1:14" ht="20" customHeight="1" x14ac:dyDescent="0.35">
      <c r="A199" s="3">
        <v>197</v>
      </c>
      <c r="E199" s="3" t="str">
        <f>IF(data_entry[[#This Row],[تاريخ الشكوي
mm/dd/yyyy]]="","",IF(data_entry[[#This Row],[تاريخ الحل
mm/dd/yyyy]]="","جاري الحل","تم الحل"))</f>
        <v/>
      </c>
      <c r="I199" s="3" t="str">
        <f t="shared" si="3"/>
        <v/>
      </c>
      <c r="J199" s="3" t="str">
        <f>IF(data_entry[[#This Row],[زمن الحل(يوم)]]="", "", IF(data_entry[[#This Row],[زمن الحل(يوم)]]&lt;=3, IF(data_entry[[#This Row],[زمن الحل(يوم)]]&gt;0, "نعم", "لا"), "لا"))</f>
        <v/>
      </c>
      <c r="K19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199" s="11" t="str">
        <f>IF(data_entry[[#This Row],[تاريخ الشكوي
mm/dd/yyyy]]="","",TEXT(data_entry[[#This Row],[تاريخ الشكوي
mm/dd/yyyy]],"mmm-yyyy"))</f>
        <v/>
      </c>
      <c r="M199" s="5" t="str">
        <f>IF(data_entry[[#This Row],[تاريخ الحل
mm/dd/yyyy]]="","",TEXT(data_entry[[#This Row],[تاريخ الحل
mm/dd/yyyy]],"mmm-yyyy"))</f>
        <v/>
      </c>
      <c r="N199" s="21" t="str">
        <f>IF(data_entry[[#This Row],[تاريخ التغذية الراجعة
mm/dd/yyyy]]="","",TEXT(data_entry[[#This Row],[تاريخ التغذية الراجعة
mm/dd/yyyy]],"mmm-yy"))</f>
        <v/>
      </c>
    </row>
    <row r="200" spans="1:14" ht="20" customHeight="1" x14ac:dyDescent="0.35">
      <c r="A200" s="3">
        <v>198</v>
      </c>
      <c r="E200" s="3" t="str">
        <f>IF(data_entry[[#This Row],[تاريخ الشكوي
mm/dd/yyyy]]="","",IF(data_entry[[#This Row],[تاريخ الحل
mm/dd/yyyy]]="","جاري الحل","تم الحل"))</f>
        <v/>
      </c>
      <c r="I200" s="3" t="str">
        <f t="shared" si="3"/>
        <v/>
      </c>
      <c r="J200" s="3" t="str">
        <f>IF(data_entry[[#This Row],[زمن الحل(يوم)]]="", "", IF(data_entry[[#This Row],[زمن الحل(يوم)]]&lt;=3, IF(data_entry[[#This Row],[زمن الحل(يوم)]]&gt;0, "نعم", "لا"), "لا"))</f>
        <v/>
      </c>
      <c r="K20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0" s="11" t="str">
        <f>IF(data_entry[[#This Row],[تاريخ الشكوي
mm/dd/yyyy]]="","",TEXT(data_entry[[#This Row],[تاريخ الشكوي
mm/dd/yyyy]],"mmm-yyyy"))</f>
        <v/>
      </c>
      <c r="M200" s="5" t="str">
        <f>IF(data_entry[[#This Row],[تاريخ الحل
mm/dd/yyyy]]="","",TEXT(data_entry[[#This Row],[تاريخ الحل
mm/dd/yyyy]],"mmm-yyyy"))</f>
        <v/>
      </c>
      <c r="N200" s="21" t="str">
        <f>IF(data_entry[[#This Row],[تاريخ التغذية الراجعة
mm/dd/yyyy]]="","",TEXT(data_entry[[#This Row],[تاريخ التغذية الراجعة
mm/dd/yyyy]],"mmm-yy"))</f>
        <v/>
      </c>
    </row>
    <row r="201" spans="1:14" ht="20" customHeight="1" x14ac:dyDescent="0.35">
      <c r="A201" s="3">
        <v>199</v>
      </c>
      <c r="E201" s="3" t="str">
        <f>IF(data_entry[[#This Row],[تاريخ الشكوي
mm/dd/yyyy]]="","",IF(data_entry[[#This Row],[تاريخ الحل
mm/dd/yyyy]]="","جاري الحل","تم الحل"))</f>
        <v/>
      </c>
      <c r="I201" s="3" t="str">
        <f t="shared" si="3"/>
        <v/>
      </c>
      <c r="J201" s="3" t="str">
        <f>IF(data_entry[[#This Row],[زمن الحل(يوم)]]="", "", IF(data_entry[[#This Row],[زمن الحل(يوم)]]&lt;=3, IF(data_entry[[#This Row],[زمن الحل(يوم)]]&gt;0, "نعم", "لا"), "لا"))</f>
        <v/>
      </c>
      <c r="K20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1" s="11" t="str">
        <f>IF(data_entry[[#This Row],[تاريخ الشكوي
mm/dd/yyyy]]="","",TEXT(data_entry[[#This Row],[تاريخ الشكوي
mm/dd/yyyy]],"mmm-yyyy"))</f>
        <v/>
      </c>
      <c r="M201" s="5" t="str">
        <f>IF(data_entry[[#This Row],[تاريخ الحل
mm/dd/yyyy]]="","",TEXT(data_entry[[#This Row],[تاريخ الحل
mm/dd/yyyy]],"mmm-yyyy"))</f>
        <v/>
      </c>
      <c r="N201" s="21" t="str">
        <f>IF(data_entry[[#This Row],[تاريخ التغذية الراجعة
mm/dd/yyyy]]="","",TEXT(data_entry[[#This Row],[تاريخ التغذية الراجعة
mm/dd/yyyy]],"mmm-yy"))</f>
        <v/>
      </c>
    </row>
    <row r="202" spans="1:14" ht="20" customHeight="1" x14ac:dyDescent="0.35">
      <c r="A202" s="3">
        <v>200</v>
      </c>
      <c r="E202" s="3" t="str">
        <f>IF(data_entry[[#This Row],[تاريخ الشكوي
mm/dd/yyyy]]="","",IF(data_entry[[#This Row],[تاريخ الحل
mm/dd/yyyy]]="","جاري الحل","تم الحل"))</f>
        <v/>
      </c>
      <c r="I202" s="3" t="str">
        <f t="shared" si="3"/>
        <v/>
      </c>
      <c r="J202" s="3" t="str">
        <f>IF(data_entry[[#This Row],[زمن الحل(يوم)]]="", "", IF(data_entry[[#This Row],[زمن الحل(يوم)]]&lt;=3, IF(data_entry[[#This Row],[زمن الحل(يوم)]]&gt;0, "نعم", "لا"), "لا"))</f>
        <v/>
      </c>
      <c r="K20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2" s="11" t="str">
        <f>IF(data_entry[[#This Row],[تاريخ الشكوي
mm/dd/yyyy]]="","",TEXT(data_entry[[#This Row],[تاريخ الشكوي
mm/dd/yyyy]],"mmm-yyyy"))</f>
        <v/>
      </c>
      <c r="M202" s="5" t="str">
        <f>IF(data_entry[[#This Row],[تاريخ الحل
mm/dd/yyyy]]="","",TEXT(data_entry[[#This Row],[تاريخ الحل
mm/dd/yyyy]],"mmm-yyyy"))</f>
        <v/>
      </c>
      <c r="N202" s="21" t="str">
        <f>IF(data_entry[[#This Row],[تاريخ التغذية الراجعة
mm/dd/yyyy]]="","",TEXT(data_entry[[#This Row],[تاريخ التغذية الراجعة
mm/dd/yyyy]],"mmm-yy"))</f>
        <v/>
      </c>
    </row>
    <row r="203" spans="1:14" ht="20" customHeight="1" x14ac:dyDescent="0.35">
      <c r="A203" s="3">
        <v>201</v>
      </c>
      <c r="E203" s="3" t="str">
        <f>IF(data_entry[[#This Row],[تاريخ الشكوي
mm/dd/yyyy]]="","",IF(data_entry[[#This Row],[تاريخ الحل
mm/dd/yyyy]]="","جاري الحل","تم الحل"))</f>
        <v/>
      </c>
      <c r="I203" s="3" t="str">
        <f t="shared" si="3"/>
        <v/>
      </c>
      <c r="J203" s="3" t="str">
        <f>IF(data_entry[[#This Row],[زمن الحل(يوم)]]="", "", IF(data_entry[[#This Row],[زمن الحل(يوم)]]&lt;=3, IF(data_entry[[#This Row],[زمن الحل(يوم)]]&gt;0, "نعم", "لا"), "لا"))</f>
        <v/>
      </c>
      <c r="K20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3" s="11" t="str">
        <f>IF(data_entry[[#This Row],[تاريخ الشكوي
mm/dd/yyyy]]="","",TEXT(data_entry[[#This Row],[تاريخ الشكوي
mm/dd/yyyy]],"mmm-yyyy"))</f>
        <v/>
      </c>
      <c r="M203" s="5" t="str">
        <f>IF(data_entry[[#This Row],[تاريخ الحل
mm/dd/yyyy]]="","",TEXT(data_entry[[#This Row],[تاريخ الحل
mm/dd/yyyy]],"mmm-yyyy"))</f>
        <v/>
      </c>
      <c r="N203" s="21" t="str">
        <f>IF(data_entry[[#This Row],[تاريخ التغذية الراجعة
mm/dd/yyyy]]="","",TEXT(data_entry[[#This Row],[تاريخ التغذية الراجعة
mm/dd/yyyy]],"mmm-yy"))</f>
        <v/>
      </c>
    </row>
    <row r="204" spans="1:14" ht="20" customHeight="1" x14ac:dyDescent="0.35">
      <c r="A204" s="3">
        <v>202</v>
      </c>
      <c r="E204" s="3" t="str">
        <f>IF(data_entry[[#This Row],[تاريخ الشكوي
mm/dd/yyyy]]="","",IF(data_entry[[#This Row],[تاريخ الحل
mm/dd/yyyy]]="","جاري الحل","تم الحل"))</f>
        <v/>
      </c>
      <c r="I204" s="3" t="str">
        <f t="shared" si="3"/>
        <v/>
      </c>
      <c r="J204" s="3" t="str">
        <f>IF(data_entry[[#This Row],[زمن الحل(يوم)]]="", "", IF(data_entry[[#This Row],[زمن الحل(يوم)]]&lt;=3, IF(data_entry[[#This Row],[زمن الحل(يوم)]]&gt;0, "نعم", "لا"), "لا"))</f>
        <v/>
      </c>
      <c r="K20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4" s="11" t="str">
        <f>IF(data_entry[[#This Row],[تاريخ الشكوي
mm/dd/yyyy]]="","",TEXT(data_entry[[#This Row],[تاريخ الشكوي
mm/dd/yyyy]],"mmm-yyyy"))</f>
        <v/>
      </c>
      <c r="M204" s="5" t="str">
        <f>IF(data_entry[[#This Row],[تاريخ الحل
mm/dd/yyyy]]="","",TEXT(data_entry[[#This Row],[تاريخ الحل
mm/dd/yyyy]],"mmm-yyyy"))</f>
        <v/>
      </c>
      <c r="N204" s="21" t="str">
        <f>IF(data_entry[[#This Row],[تاريخ التغذية الراجعة
mm/dd/yyyy]]="","",TEXT(data_entry[[#This Row],[تاريخ التغذية الراجعة
mm/dd/yyyy]],"mmm-yy"))</f>
        <v/>
      </c>
    </row>
    <row r="205" spans="1:14" ht="20" customHeight="1" x14ac:dyDescent="0.35">
      <c r="A205" s="3">
        <v>203</v>
      </c>
      <c r="E205" s="3" t="str">
        <f>IF(data_entry[[#This Row],[تاريخ الشكوي
mm/dd/yyyy]]="","",IF(data_entry[[#This Row],[تاريخ الحل
mm/dd/yyyy]]="","جاري الحل","تم الحل"))</f>
        <v/>
      </c>
      <c r="I205" s="3" t="str">
        <f t="shared" si="3"/>
        <v/>
      </c>
      <c r="J205" s="3" t="str">
        <f>IF(data_entry[[#This Row],[زمن الحل(يوم)]]="", "", IF(data_entry[[#This Row],[زمن الحل(يوم)]]&lt;=3, IF(data_entry[[#This Row],[زمن الحل(يوم)]]&gt;0, "نعم", "لا"), "لا"))</f>
        <v/>
      </c>
      <c r="K20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5" s="11" t="str">
        <f>IF(data_entry[[#This Row],[تاريخ الشكوي
mm/dd/yyyy]]="","",TEXT(data_entry[[#This Row],[تاريخ الشكوي
mm/dd/yyyy]],"mmm-yyyy"))</f>
        <v/>
      </c>
      <c r="M205" s="5" t="str">
        <f>IF(data_entry[[#This Row],[تاريخ الحل
mm/dd/yyyy]]="","",TEXT(data_entry[[#This Row],[تاريخ الحل
mm/dd/yyyy]],"mmm-yyyy"))</f>
        <v/>
      </c>
      <c r="N205" s="21" t="str">
        <f>IF(data_entry[[#This Row],[تاريخ التغذية الراجعة
mm/dd/yyyy]]="","",TEXT(data_entry[[#This Row],[تاريخ التغذية الراجعة
mm/dd/yyyy]],"mmm-yy"))</f>
        <v/>
      </c>
    </row>
    <row r="206" spans="1:14" ht="20" customHeight="1" x14ac:dyDescent="0.35">
      <c r="A206" s="3">
        <v>204</v>
      </c>
      <c r="E206" s="3" t="str">
        <f>IF(data_entry[[#This Row],[تاريخ الشكوي
mm/dd/yyyy]]="","",IF(data_entry[[#This Row],[تاريخ الحل
mm/dd/yyyy]]="","جاري الحل","تم الحل"))</f>
        <v/>
      </c>
      <c r="I206" s="3" t="str">
        <f t="shared" si="3"/>
        <v/>
      </c>
      <c r="J206" s="3" t="str">
        <f>IF(data_entry[[#This Row],[زمن الحل(يوم)]]="", "", IF(data_entry[[#This Row],[زمن الحل(يوم)]]&lt;=3, IF(data_entry[[#This Row],[زمن الحل(يوم)]]&gt;0, "نعم", "لا"), "لا"))</f>
        <v/>
      </c>
      <c r="K20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6" s="11" t="str">
        <f>IF(data_entry[[#This Row],[تاريخ الشكوي
mm/dd/yyyy]]="","",TEXT(data_entry[[#This Row],[تاريخ الشكوي
mm/dd/yyyy]],"mmm-yyyy"))</f>
        <v/>
      </c>
      <c r="M206" s="5" t="str">
        <f>IF(data_entry[[#This Row],[تاريخ الحل
mm/dd/yyyy]]="","",TEXT(data_entry[[#This Row],[تاريخ الحل
mm/dd/yyyy]],"mmm-yyyy"))</f>
        <v/>
      </c>
      <c r="N206" s="21" t="str">
        <f>IF(data_entry[[#This Row],[تاريخ التغذية الراجعة
mm/dd/yyyy]]="","",TEXT(data_entry[[#This Row],[تاريخ التغذية الراجعة
mm/dd/yyyy]],"mmm-yy"))</f>
        <v/>
      </c>
    </row>
    <row r="207" spans="1:14" ht="20" customHeight="1" x14ac:dyDescent="0.35">
      <c r="A207" s="3">
        <v>205</v>
      </c>
      <c r="E207" s="3" t="str">
        <f>IF(data_entry[[#This Row],[تاريخ الشكوي
mm/dd/yyyy]]="","",IF(data_entry[[#This Row],[تاريخ الحل
mm/dd/yyyy]]="","جاري الحل","تم الحل"))</f>
        <v/>
      </c>
      <c r="I207" s="3" t="str">
        <f t="shared" si="3"/>
        <v/>
      </c>
      <c r="J207" s="3" t="str">
        <f>IF(data_entry[[#This Row],[زمن الحل(يوم)]]="", "", IF(data_entry[[#This Row],[زمن الحل(يوم)]]&lt;=3, IF(data_entry[[#This Row],[زمن الحل(يوم)]]&gt;0, "نعم", "لا"), "لا"))</f>
        <v/>
      </c>
      <c r="K20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7" s="11" t="str">
        <f>IF(data_entry[[#This Row],[تاريخ الشكوي
mm/dd/yyyy]]="","",TEXT(data_entry[[#This Row],[تاريخ الشكوي
mm/dd/yyyy]],"mmm-yyyy"))</f>
        <v/>
      </c>
      <c r="M207" s="5" t="str">
        <f>IF(data_entry[[#This Row],[تاريخ الحل
mm/dd/yyyy]]="","",TEXT(data_entry[[#This Row],[تاريخ الحل
mm/dd/yyyy]],"mmm-yyyy"))</f>
        <v/>
      </c>
      <c r="N207" s="21" t="str">
        <f>IF(data_entry[[#This Row],[تاريخ التغذية الراجعة
mm/dd/yyyy]]="","",TEXT(data_entry[[#This Row],[تاريخ التغذية الراجعة
mm/dd/yyyy]],"mmm-yy"))</f>
        <v/>
      </c>
    </row>
    <row r="208" spans="1:14" ht="20" customHeight="1" x14ac:dyDescent="0.35">
      <c r="A208" s="3">
        <v>206</v>
      </c>
      <c r="E208" s="3" t="str">
        <f>IF(data_entry[[#This Row],[تاريخ الشكوي
mm/dd/yyyy]]="","",IF(data_entry[[#This Row],[تاريخ الحل
mm/dd/yyyy]]="","جاري الحل","تم الحل"))</f>
        <v/>
      </c>
      <c r="I208" s="3" t="str">
        <f t="shared" si="3"/>
        <v/>
      </c>
      <c r="J208" s="3" t="str">
        <f>IF(data_entry[[#This Row],[زمن الحل(يوم)]]="", "", IF(data_entry[[#This Row],[زمن الحل(يوم)]]&lt;=3, IF(data_entry[[#This Row],[زمن الحل(يوم)]]&gt;0, "نعم", "لا"), "لا"))</f>
        <v/>
      </c>
      <c r="K20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8" s="11" t="str">
        <f>IF(data_entry[[#This Row],[تاريخ الشكوي
mm/dd/yyyy]]="","",TEXT(data_entry[[#This Row],[تاريخ الشكوي
mm/dd/yyyy]],"mmm-yyyy"))</f>
        <v/>
      </c>
      <c r="M208" s="5" t="str">
        <f>IF(data_entry[[#This Row],[تاريخ الحل
mm/dd/yyyy]]="","",TEXT(data_entry[[#This Row],[تاريخ الحل
mm/dd/yyyy]],"mmm-yyyy"))</f>
        <v/>
      </c>
      <c r="N208" s="21" t="str">
        <f>IF(data_entry[[#This Row],[تاريخ التغذية الراجعة
mm/dd/yyyy]]="","",TEXT(data_entry[[#This Row],[تاريخ التغذية الراجعة
mm/dd/yyyy]],"mmm-yy"))</f>
        <v/>
      </c>
    </row>
    <row r="209" spans="1:14" ht="20" customHeight="1" x14ac:dyDescent="0.35">
      <c r="A209" s="3">
        <v>207</v>
      </c>
      <c r="E209" s="3" t="str">
        <f>IF(data_entry[[#This Row],[تاريخ الشكوي
mm/dd/yyyy]]="","",IF(data_entry[[#This Row],[تاريخ الحل
mm/dd/yyyy]]="","جاري الحل","تم الحل"))</f>
        <v/>
      </c>
      <c r="I209" s="3" t="str">
        <f t="shared" si="3"/>
        <v/>
      </c>
      <c r="J209" s="3" t="str">
        <f>IF(data_entry[[#This Row],[زمن الحل(يوم)]]="", "", IF(data_entry[[#This Row],[زمن الحل(يوم)]]&lt;=3, IF(data_entry[[#This Row],[زمن الحل(يوم)]]&gt;0, "نعم", "لا"), "لا"))</f>
        <v/>
      </c>
      <c r="K20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09" s="11" t="str">
        <f>IF(data_entry[[#This Row],[تاريخ الشكوي
mm/dd/yyyy]]="","",TEXT(data_entry[[#This Row],[تاريخ الشكوي
mm/dd/yyyy]],"mmm-yyyy"))</f>
        <v/>
      </c>
      <c r="M209" s="5" t="str">
        <f>IF(data_entry[[#This Row],[تاريخ الحل
mm/dd/yyyy]]="","",TEXT(data_entry[[#This Row],[تاريخ الحل
mm/dd/yyyy]],"mmm-yyyy"))</f>
        <v/>
      </c>
      <c r="N209" s="21" t="str">
        <f>IF(data_entry[[#This Row],[تاريخ التغذية الراجعة
mm/dd/yyyy]]="","",TEXT(data_entry[[#This Row],[تاريخ التغذية الراجعة
mm/dd/yyyy]],"mmm-yy"))</f>
        <v/>
      </c>
    </row>
    <row r="210" spans="1:14" ht="20" customHeight="1" x14ac:dyDescent="0.35">
      <c r="A210" s="3">
        <v>208</v>
      </c>
      <c r="E210" s="3" t="str">
        <f>IF(data_entry[[#This Row],[تاريخ الشكوي
mm/dd/yyyy]]="","",IF(data_entry[[#This Row],[تاريخ الحل
mm/dd/yyyy]]="","جاري الحل","تم الحل"))</f>
        <v/>
      </c>
      <c r="I210" s="3" t="str">
        <f t="shared" si="3"/>
        <v/>
      </c>
      <c r="J210" s="3" t="str">
        <f>IF(data_entry[[#This Row],[زمن الحل(يوم)]]="", "", IF(data_entry[[#This Row],[زمن الحل(يوم)]]&lt;=3, IF(data_entry[[#This Row],[زمن الحل(يوم)]]&gt;0, "نعم", "لا"), "لا"))</f>
        <v/>
      </c>
      <c r="K21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0" s="11" t="str">
        <f>IF(data_entry[[#This Row],[تاريخ الشكوي
mm/dd/yyyy]]="","",TEXT(data_entry[[#This Row],[تاريخ الشكوي
mm/dd/yyyy]],"mmm-yyyy"))</f>
        <v/>
      </c>
      <c r="M210" s="5" t="str">
        <f>IF(data_entry[[#This Row],[تاريخ الحل
mm/dd/yyyy]]="","",TEXT(data_entry[[#This Row],[تاريخ الحل
mm/dd/yyyy]],"mmm-yyyy"))</f>
        <v/>
      </c>
      <c r="N210" s="21" t="str">
        <f>IF(data_entry[[#This Row],[تاريخ التغذية الراجعة
mm/dd/yyyy]]="","",TEXT(data_entry[[#This Row],[تاريخ التغذية الراجعة
mm/dd/yyyy]],"mmm-yy"))</f>
        <v/>
      </c>
    </row>
    <row r="211" spans="1:14" ht="20" customHeight="1" x14ac:dyDescent="0.35">
      <c r="A211" s="3">
        <v>209</v>
      </c>
      <c r="E211" s="3" t="str">
        <f>IF(data_entry[[#This Row],[تاريخ الشكوي
mm/dd/yyyy]]="","",IF(data_entry[[#This Row],[تاريخ الحل
mm/dd/yyyy]]="","جاري الحل","تم الحل"))</f>
        <v/>
      </c>
      <c r="I211" s="3" t="str">
        <f t="shared" si="3"/>
        <v/>
      </c>
      <c r="J211" s="3" t="str">
        <f>IF(data_entry[[#This Row],[زمن الحل(يوم)]]="", "", IF(data_entry[[#This Row],[زمن الحل(يوم)]]&lt;=3, IF(data_entry[[#This Row],[زمن الحل(يوم)]]&gt;0, "نعم", "لا"), "لا"))</f>
        <v/>
      </c>
      <c r="K21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1" s="11" t="str">
        <f>IF(data_entry[[#This Row],[تاريخ الشكوي
mm/dd/yyyy]]="","",TEXT(data_entry[[#This Row],[تاريخ الشكوي
mm/dd/yyyy]],"mmm-yyyy"))</f>
        <v/>
      </c>
      <c r="M211" s="5" t="str">
        <f>IF(data_entry[[#This Row],[تاريخ الحل
mm/dd/yyyy]]="","",TEXT(data_entry[[#This Row],[تاريخ الحل
mm/dd/yyyy]],"mmm-yyyy"))</f>
        <v/>
      </c>
      <c r="N211" s="21" t="str">
        <f>IF(data_entry[[#This Row],[تاريخ التغذية الراجعة
mm/dd/yyyy]]="","",TEXT(data_entry[[#This Row],[تاريخ التغذية الراجعة
mm/dd/yyyy]],"mmm-yy"))</f>
        <v/>
      </c>
    </row>
    <row r="212" spans="1:14" ht="20" customHeight="1" x14ac:dyDescent="0.35">
      <c r="A212" s="3">
        <v>210</v>
      </c>
      <c r="E212" s="3" t="str">
        <f>IF(data_entry[[#This Row],[تاريخ الشكوي
mm/dd/yyyy]]="","",IF(data_entry[[#This Row],[تاريخ الحل
mm/dd/yyyy]]="","جاري الحل","تم الحل"))</f>
        <v/>
      </c>
      <c r="I212" s="3" t="str">
        <f t="shared" si="3"/>
        <v/>
      </c>
      <c r="J212" s="3" t="str">
        <f>IF(data_entry[[#This Row],[زمن الحل(يوم)]]="", "", IF(data_entry[[#This Row],[زمن الحل(يوم)]]&lt;=3, IF(data_entry[[#This Row],[زمن الحل(يوم)]]&gt;0, "نعم", "لا"), "لا"))</f>
        <v/>
      </c>
      <c r="K21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2" s="11" t="str">
        <f>IF(data_entry[[#This Row],[تاريخ الشكوي
mm/dd/yyyy]]="","",TEXT(data_entry[[#This Row],[تاريخ الشكوي
mm/dd/yyyy]],"mmm-yyyy"))</f>
        <v/>
      </c>
      <c r="M212" s="5" t="str">
        <f>IF(data_entry[[#This Row],[تاريخ الحل
mm/dd/yyyy]]="","",TEXT(data_entry[[#This Row],[تاريخ الحل
mm/dd/yyyy]],"mmm-yyyy"))</f>
        <v/>
      </c>
      <c r="N212" s="21" t="str">
        <f>IF(data_entry[[#This Row],[تاريخ التغذية الراجعة
mm/dd/yyyy]]="","",TEXT(data_entry[[#This Row],[تاريخ التغذية الراجعة
mm/dd/yyyy]],"mmm-yy"))</f>
        <v/>
      </c>
    </row>
    <row r="213" spans="1:14" ht="20" customHeight="1" x14ac:dyDescent="0.35">
      <c r="A213" s="3">
        <v>211</v>
      </c>
      <c r="E213" s="3" t="str">
        <f>IF(data_entry[[#This Row],[تاريخ الشكوي
mm/dd/yyyy]]="","",IF(data_entry[[#This Row],[تاريخ الحل
mm/dd/yyyy]]="","جاري الحل","تم الحل"))</f>
        <v/>
      </c>
      <c r="I213" s="3" t="str">
        <f t="shared" si="3"/>
        <v/>
      </c>
      <c r="J213" s="3" t="str">
        <f>IF(data_entry[[#This Row],[زمن الحل(يوم)]]="", "", IF(data_entry[[#This Row],[زمن الحل(يوم)]]&lt;=3, IF(data_entry[[#This Row],[زمن الحل(يوم)]]&gt;0, "نعم", "لا"), "لا"))</f>
        <v/>
      </c>
      <c r="K21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3" s="11" t="str">
        <f>IF(data_entry[[#This Row],[تاريخ الشكوي
mm/dd/yyyy]]="","",TEXT(data_entry[[#This Row],[تاريخ الشكوي
mm/dd/yyyy]],"mmm-yyyy"))</f>
        <v/>
      </c>
      <c r="M213" s="5" t="str">
        <f>IF(data_entry[[#This Row],[تاريخ الحل
mm/dd/yyyy]]="","",TEXT(data_entry[[#This Row],[تاريخ الحل
mm/dd/yyyy]],"mmm-yyyy"))</f>
        <v/>
      </c>
      <c r="N213" s="21" t="str">
        <f>IF(data_entry[[#This Row],[تاريخ التغذية الراجعة
mm/dd/yyyy]]="","",TEXT(data_entry[[#This Row],[تاريخ التغذية الراجعة
mm/dd/yyyy]],"mmm-yy"))</f>
        <v/>
      </c>
    </row>
    <row r="214" spans="1:14" ht="20" customHeight="1" x14ac:dyDescent="0.35">
      <c r="A214" s="3">
        <v>212</v>
      </c>
      <c r="E214" s="3" t="str">
        <f>IF(data_entry[[#This Row],[تاريخ الشكوي
mm/dd/yyyy]]="","",IF(data_entry[[#This Row],[تاريخ الحل
mm/dd/yyyy]]="","جاري الحل","تم الحل"))</f>
        <v/>
      </c>
      <c r="I214" s="3" t="str">
        <f t="shared" si="3"/>
        <v/>
      </c>
      <c r="J214" s="3" t="str">
        <f>IF(data_entry[[#This Row],[زمن الحل(يوم)]]="", "", IF(data_entry[[#This Row],[زمن الحل(يوم)]]&lt;=3, IF(data_entry[[#This Row],[زمن الحل(يوم)]]&gt;0, "نعم", "لا"), "لا"))</f>
        <v/>
      </c>
      <c r="K21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4" s="11" t="str">
        <f>IF(data_entry[[#This Row],[تاريخ الشكوي
mm/dd/yyyy]]="","",TEXT(data_entry[[#This Row],[تاريخ الشكوي
mm/dd/yyyy]],"mmm-yyyy"))</f>
        <v/>
      </c>
      <c r="M214" s="5" t="str">
        <f>IF(data_entry[[#This Row],[تاريخ الحل
mm/dd/yyyy]]="","",TEXT(data_entry[[#This Row],[تاريخ الحل
mm/dd/yyyy]],"mmm-yyyy"))</f>
        <v/>
      </c>
      <c r="N214" s="21" t="str">
        <f>IF(data_entry[[#This Row],[تاريخ التغذية الراجعة
mm/dd/yyyy]]="","",TEXT(data_entry[[#This Row],[تاريخ التغذية الراجعة
mm/dd/yyyy]],"mmm-yy"))</f>
        <v/>
      </c>
    </row>
    <row r="215" spans="1:14" ht="20" customHeight="1" x14ac:dyDescent="0.35">
      <c r="A215" s="3">
        <v>213</v>
      </c>
      <c r="E215" s="3" t="str">
        <f>IF(data_entry[[#This Row],[تاريخ الشكوي
mm/dd/yyyy]]="","",IF(data_entry[[#This Row],[تاريخ الحل
mm/dd/yyyy]]="","جاري الحل","تم الحل"))</f>
        <v/>
      </c>
      <c r="I215" s="3" t="str">
        <f t="shared" si="3"/>
        <v/>
      </c>
      <c r="J215" s="3" t="str">
        <f>IF(data_entry[[#This Row],[زمن الحل(يوم)]]="", "", IF(data_entry[[#This Row],[زمن الحل(يوم)]]&lt;=3, IF(data_entry[[#This Row],[زمن الحل(يوم)]]&gt;0, "نعم", "لا"), "لا"))</f>
        <v/>
      </c>
      <c r="K21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5" s="11" t="str">
        <f>IF(data_entry[[#This Row],[تاريخ الشكوي
mm/dd/yyyy]]="","",TEXT(data_entry[[#This Row],[تاريخ الشكوي
mm/dd/yyyy]],"mmm-yyyy"))</f>
        <v/>
      </c>
      <c r="M215" s="5" t="str">
        <f>IF(data_entry[[#This Row],[تاريخ الحل
mm/dd/yyyy]]="","",TEXT(data_entry[[#This Row],[تاريخ الحل
mm/dd/yyyy]],"mmm-yyyy"))</f>
        <v/>
      </c>
      <c r="N215" s="21" t="str">
        <f>IF(data_entry[[#This Row],[تاريخ التغذية الراجعة
mm/dd/yyyy]]="","",TEXT(data_entry[[#This Row],[تاريخ التغذية الراجعة
mm/dd/yyyy]],"mmm-yy"))</f>
        <v/>
      </c>
    </row>
    <row r="216" spans="1:14" ht="20" customHeight="1" x14ac:dyDescent="0.35">
      <c r="A216" s="3">
        <v>214</v>
      </c>
      <c r="E216" s="3" t="str">
        <f>IF(data_entry[[#This Row],[تاريخ الشكوي
mm/dd/yyyy]]="","",IF(data_entry[[#This Row],[تاريخ الحل
mm/dd/yyyy]]="","جاري الحل","تم الحل"))</f>
        <v/>
      </c>
      <c r="I216" s="3" t="str">
        <f t="shared" si="3"/>
        <v/>
      </c>
      <c r="J216" s="3" t="str">
        <f>IF(data_entry[[#This Row],[زمن الحل(يوم)]]="", "", IF(data_entry[[#This Row],[زمن الحل(يوم)]]&lt;=3, IF(data_entry[[#This Row],[زمن الحل(يوم)]]&gt;0, "نعم", "لا"), "لا"))</f>
        <v/>
      </c>
      <c r="K21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6" s="11" t="str">
        <f>IF(data_entry[[#This Row],[تاريخ الشكوي
mm/dd/yyyy]]="","",TEXT(data_entry[[#This Row],[تاريخ الشكوي
mm/dd/yyyy]],"mmm-yyyy"))</f>
        <v/>
      </c>
      <c r="M216" s="5" t="str">
        <f>IF(data_entry[[#This Row],[تاريخ الحل
mm/dd/yyyy]]="","",TEXT(data_entry[[#This Row],[تاريخ الحل
mm/dd/yyyy]],"mmm-yyyy"))</f>
        <v/>
      </c>
      <c r="N216" s="21" t="str">
        <f>IF(data_entry[[#This Row],[تاريخ التغذية الراجعة
mm/dd/yyyy]]="","",TEXT(data_entry[[#This Row],[تاريخ التغذية الراجعة
mm/dd/yyyy]],"mmm-yy"))</f>
        <v/>
      </c>
    </row>
    <row r="217" spans="1:14" ht="20" customHeight="1" x14ac:dyDescent="0.35">
      <c r="A217" s="3">
        <v>215</v>
      </c>
      <c r="E217" s="3" t="str">
        <f>IF(data_entry[[#This Row],[تاريخ الشكوي
mm/dd/yyyy]]="","",IF(data_entry[[#This Row],[تاريخ الحل
mm/dd/yyyy]]="","جاري الحل","تم الحل"))</f>
        <v/>
      </c>
      <c r="I217" s="3" t="str">
        <f t="shared" si="3"/>
        <v/>
      </c>
      <c r="J217" s="3" t="str">
        <f>IF(data_entry[[#This Row],[زمن الحل(يوم)]]="", "", IF(data_entry[[#This Row],[زمن الحل(يوم)]]&lt;=3, IF(data_entry[[#This Row],[زمن الحل(يوم)]]&gt;0, "نعم", "لا"), "لا"))</f>
        <v/>
      </c>
      <c r="K21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7" s="11" t="str">
        <f>IF(data_entry[[#This Row],[تاريخ الشكوي
mm/dd/yyyy]]="","",TEXT(data_entry[[#This Row],[تاريخ الشكوي
mm/dd/yyyy]],"mmm-yyyy"))</f>
        <v/>
      </c>
      <c r="M217" s="5" t="str">
        <f>IF(data_entry[[#This Row],[تاريخ الحل
mm/dd/yyyy]]="","",TEXT(data_entry[[#This Row],[تاريخ الحل
mm/dd/yyyy]],"mmm-yyyy"))</f>
        <v/>
      </c>
      <c r="N217" s="21" t="str">
        <f>IF(data_entry[[#This Row],[تاريخ التغذية الراجعة
mm/dd/yyyy]]="","",TEXT(data_entry[[#This Row],[تاريخ التغذية الراجعة
mm/dd/yyyy]],"mmm-yy"))</f>
        <v/>
      </c>
    </row>
    <row r="218" spans="1:14" ht="20" customHeight="1" x14ac:dyDescent="0.35">
      <c r="A218" s="3">
        <v>216</v>
      </c>
      <c r="E218" s="3" t="str">
        <f>IF(data_entry[[#This Row],[تاريخ الشكوي
mm/dd/yyyy]]="","",IF(data_entry[[#This Row],[تاريخ الحل
mm/dd/yyyy]]="","جاري الحل","تم الحل"))</f>
        <v/>
      </c>
      <c r="I218" s="3" t="str">
        <f t="shared" si="3"/>
        <v/>
      </c>
      <c r="J218" s="3" t="str">
        <f>IF(data_entry[[#This Row],[زمن الحل(يوم)]]="", "", IF(data_entry[[#This Row],[زمن الحل(يوم)]]&lt;=3, IF(data_entry[[#This Row],[زمن الحل(يوم)]]&gt;0, "نعم", "لا"), "لا"))</f>
        <v/>
      </c>
      <c r="K21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8" s="11" t="str">
        <f>IF(data_entry[[#This Row],[تاريخ الشكوي
mm/dd/yyyy]]="","",TEXT(data_entry[[#This Row],[تاريخ الشكوي
mm/dd/yyyy]],"mmm-yyyy"))</f>
        <v/>
      </c>
      <c r="M218" s="5" t="str">
        <f>IF(data_entry[[#This Row],[تاريخ الحل
mm/dd/yyyy]]="","",TEXT(data_entry[[#This Row],[تاريخ الحل
mm/dd/yyyy]],"mmm-yyyy"))</f>
        <v/>
      </c>
      <c r="N218" s="21" t="str">
        <f>IF(data_entry[[#This Row],[تاريخ التغذية الراجعة
mm/dd/yyyy]]="","",TEXT(data_entry[[#This Row],[تاريخ التغذية الراجعة
mm/dd/yyyy]],"mmm-yy"))</f>
        <v/>
      </c>
    </row>
    <row r="219" spans="1:14" ht="20" customHeight="1" x14ac:dyDescent="0.35">
      <c r="A219" s="3">
        <v>217</v>
      </c>
      <c r="E219" s="3" t="str">
        <f>IF(data_entry[[#This Row],[تاريخ الشكوي
mm/dd/yyyy]]="","",IF(data_entry[[#This Row],[تاريخ الحل
mm/dd/yyyy]]="","جاري الحل","تم الحل"))</f>
        <v/>
      </c>
      <c r="I219" s="3" t="str">
        <f t="shared" si="3"/>
        <v/>
      </c>
      <c r="J219" s="3" t="str">
        <f>IF(data_entry[[#This Row],[زمن الحل(يوم)]]="", "", IF(data_entry[[#This Row],[زمن الحل(يوم)]]&lt;=3, IF(data_entry[[#This Row],[زمن الحل(يوم)]]&gt;0, "نعم", "لا"), "لا"))</f>
        <v/>
      </c>
      <c r="K21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19" s="11" t="str">
        <f>IF(data_entry[[#This Row],[تاريخ الشكوي
mm/dd/yyyy]]="","",TEXT(data_entry[[#This Row],[تاريخ الشكوي
mm/dd/yyyy]],"mmm-yyyy"))</f>
        <v/>
      </c>
      <c r="M219" s="5" t="str">
        <f>IF(data_entry[[#This Row],[تاريخ الحل
mm/dd/yyyy]]="","",TEXT(data_entry[[#This Row],[تاريخ الحل
mm/dd/yyyy]],"mmm-yyyy"))</f>
        <v/>
      </c>
      <c r="N219" s="21" t="str">
        <f>IF(data_entry[[#This Row],[تاريخ التغذية الراجعة
mm/dd/yyyy]]="","",TEXT(data_entry[[#This Row],[تاريخ التغذية الراجعة
mm/dd/yyyy]],"mmm-yy"))</f>
        <v/>
      </c>
    </row>
    <row r="220" spans="1:14" ht="20" customHeight="1" x14ac:dyDescent="0.35">
      <c r="A220" s="3">
        <v>218</v>
      </c>
      <c r="E220" s="3" t="str">
        <f>IF(data_entry[[#This Row],[تاريخ الشكوي
mm/dd/yyyy]]="","",IF(data_entry[[#This Row],[تاريخ الحل
mm/dd/yyyy]]="","جاري الحل","تم الحل"))</f>
        <v/>
      </c>
      <c r="I220" s="3" t="str">
        <f t="shared" si="3"/>
        <v/>
      </c>
      <c r="J220" s="3" t="str">
        <f>IF(data_entry[[#This Row],[زمن الحل(يوم)]]="", "", IF(data_entry[[#This Row],[زمن الحل(يوم)]]&lt;=3, IF(data_entry[[#This Row],[زمن الحل(يوم)]]&gt;0, "نعم", "لا"), "لا"))</f>
        <v/>
      </c>
      <c r="K22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0" s="11" t="str">
        <f>IF(data_entry[[#This Row],[تاريخ الشكوي
mm/dd/yyyy]]="","",TEXT(data_entry[[#This Row],[تاريخ الشكوي
mm/dd/yyyy]],"mmm-yyyy"))</f>
        <v/>
      </c>
      <c r="M220" s="5" t="str">
        <f>IF(data_entry[[#This Row],[تاريخ الحل
mm/dd/yyyy]]="","",TEXT(data_entry[[#This Row],[تاريخ الحل
mm/dd/yyyy]],"mmm-yyyy"))</f>
        <v/>
      </c>
      <c r="N220" s="21" t="str">
        <f>IF(data_entry[[#This Row],[تاريخ التغذية الراجعة
mm/dd/yyyy]]="","",TEXT(data_entry[[#This Row],[تاريخ التغذية الراجعة
mm/dd/yyyy]],"mmm-yy"))</f>
        <v/>
      </c>
    </row>
    <row r="221" spans="1:14" ht="20" customHeight="1" x14ac:dyDescent="0.35">
      <c r="A221" s="3">
        <v>219</v>
      </c>
      <c r="E221" s="3" t="str">
        <f>IF(data_entry[[#This Row],[تاريخ الشكوي
mm/dd/yyyy]]="","",IF(data_entry[[#This Row],[تاريخ الحل
mm/dd/yyyy]]="","جاري الحل","تم الحل"))</f>
        <v/>
      </c>
      <c r="I221" s="3" t="str">
        <f t="shared" si="3"/>
        <v/>
      </c>
      <c r="J221" s="3" t="str">
        <f>IF(data_entry[[#This Row],[زمن الحل(يوم)]]="", "", IF(data_entry[[#This Row],[زمن الحل(يوم)]]&lt;=3, IF(data_entry[[#This Row],[زمن الحل(يوم)]]&gt;0, "نعم", "لا"), "لا"))</f>
        <v/>
      </c>
      <c r="K22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1" s="11" t="str">
        <f>IF(data_entry[[#This Row],[تاريخ الشكوي
mm/dd/yyyy]]="","",TEXT(data_entry[[#This Row],[تاريخ الشكوي
mm/dd/yyyy]],"mmm-yyyy"))</f>
        <v/>
      </c>
      <c r="M221" s="5" t="str">
        <f>IF(data_entry[[#This Row],[تاريخ الحل
mm/dd/yyyy]]="","",TEXT(data_entry[[#This Row],[تاريخ الحل
mm/dd/yyyy]],"mmm-yyyy"))</f>
        <v/>
      </c>
      <c r="N221" s="21" t="str">
        <f>IF(data_entry[[#This Row],[تاريخ التغذية الراجعة
mm/dd/yyyy]]="","",TEXT(data_entry[[#This Row],[تاريخ التغذية الراجعة
mm/dd/yyyy]],"mmm-yy"))</f>
        <v/>
      </c>
    </row>
    <row r="222" spans="1:14" ht="20" customHeight="1" x14ac:dyDescent="0.35">
      <c r="A222" s="3">
        <v>220</v>
      </c>
      <c r="E222" s="3" t="str">
        <f>IF(data_entry[[#This Row],[تاريخ الشكوي
mm/dd/yyyy]]="","",IF(data_entry[[#This Row],[تاريخ الحل
mm/dd/yyyy]]="","جاري الحل","تم الحل"))</f>
        <v/>
      </c>
      <c r="I222" s="3" t="str">
        <f t="shared" si="3"/>
        <v/>
      </c>
      <c r="J222" s="3" t="str">
        <f>IF(data_entry[[#This Row],[زمن الحل(يوم)]]="", "", IF(data_entry[[#This Row],[زمن الحل(يوم)]]&lt;=3, IF(data_entry[[#This Row],[زمن الحل(يوم)]]&gt;0, "نعم", "لا"), "لا"))</f>
        <v/>
      </c>
      <c r="K22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2" s="11" t="str">
        <f>IF(data_entry[[#This Row],[تاريخ الشكوي
mm/dd/yyyy]]="","",TEXT(data_entry[[#This Row],[تاريخ الشكوي
mm/dd/yyyy]],"mmm-yyyy"))</f>
        <v/>
      </c>
      <c r="M222" s="5" t="str">
        <f>IF(data_entry[[#This Row],[تاريخ الحل
mm/dd/yyyy]]="","",TEXT(data_entry[[#This Row],[تاريخ الحل
mm/dd/yyyy]],"mmm-yyyy"))</f>
        <v/>
      </c>
      <c r="N222" s="21" t="str">
        <f>IF(data_entry[[#This Row],[تاريخ التغذية الراجعة
mm/dd/yyyy]]="","",TEXT(data_entry[[#This Row],[تاريخ التغذية الراجعة
mm/dd/yyyy]],"mmm-yy"))</f>
        <v/>
      </c>
    </row>
    <row r="223" spans="1:14" ht="20" customHeight="1" x14ac:dyDescent="0.35">
      <c r="A223" s="3">
        <v>221</v>
      </c>
      <c r="E223" s="3" t="str">
        <f>IF(data_entry[[#This Row],[تاريخ الشكوي
mm/dd/yyyy]]="","",IF(data_entry[[#This Row],[تاريخ الحل
mm/dd/yyyy]]="","جاري الحل","تم الحل"))</f>
        <v/>
      </c>
      <c r="I223" s="3" t="str">
        <f t="shared" si="3"/>
        <v/>
      </c>
      <c r="J223" s="3" t="str">
        <f>IF(data_entry[[#This Row],[زمن الحل(يوم)]]="", "", IF(data_entry[[#This Row],[زمن الحل(يوم)]]&lt;=3, IF(data_entry[[#This Row],[زمن الحل(يوم)]]&gt;0, "نعم", "لا"), "لا"))</f>
        <v/>
      </c>
      <c r="K22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3" s="11" t="str">
        <f>IF(data_entry[[#This Row],[تاريخ الشكوي
mm/dd/yyyy]]="","",TEXT(data_entry[[#This Row],[تاريخ الشكوي
mm/dd/yyyy]],"mmm-yyyy"))</f>
        <v/>
      </c>
      <c r="M223" s="5" t="str">
        <f>IF(data_entry[[#This Row],[تاريخ الحل
mm/dd/yyyy]]="","",TEXT(data_entry[[#This Row],[تاريخ الحل
mm/dd/yyyy]],"mmm-yyyy"))</f>
        <v/>
      </c>
      <c r="N223" s="21" t="str">
        <f>IF(data_entry[[#This Row],[تاريخ التغذية الراجعة
mm/dd/yyyy]]="","",TEXT(data_entry[[#This Row],[تاريخ التغذية الراجعة
mm/dd/yyyy]],"mmm-yy"))</f>
        <v/>
      </c>
    </row>
    <row r="224" spans="1:14" ht="20" customHeight="1" x14ac:dyDescent="0.35">
      <c r="A224" s="3">
        <v>222</v>
      </c>
      <c r="E224" s="3" t="str">
        <f>IF(data_entry[[#This Row],[تاريخ الشكوي
mm/dd/yyyy]]="","",IF(data_entry[[#This Row],[تاريخ الحل
mm/dd/yyyy]]="","جاري الحل","تم الحل"))</f>
        <v/>
      </c>
      <c r="I224" s="3" t="str">
        <f t="shared" si="3"/>
        <v/>
      </c>
      <c r="J224" s="3" t="str">
        <f>IF(data_entry[[#This Row],[زمن الحل(يوم)]]="", "", IF(data_entry[[#This Row],[زمن الحل(يوم)]]&lt;=3, IF(data_entry[[#This Row],[زمن الحل(يوم)]]&gt;0, "نعم", "لا"), "لا"))</f>
        <v/>
      </c>
      <c r="K22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4" s="11" t="str">
        <f>IF(data_entry[[#This Row],[تاريخ الشكوي
mm/dd/yyyy]]="","",TEXT(data_entry[[#This Row],[تاريخ الشكوي
mm/dd/yyyy]],"mmm-yyyy"))</f>
        <v/>
      </c>
      <c r="M224" s="5" t="str">
        <f>IF(data_entry[[#This Row],[تاريخ الحل
mm/dd/yyyy]]="","",TEXT(data_entry[[#This Row],[تاريخ الحل
mm/dd/yyyy]],"mmm-yyyy"))</f>
        <v/>
      </c>
      <c r="N224" s="21" t="str">
        <f>IF(data_entry[[#This Row],[تاريخ التغذية الراجعة
mm/dd/yyyy]]="","",TEXT(data_entry[[#This Row],[تاريخ التغذية الراجعة
mm/dd/yyyy]],"mmm-yy"))</f>
        <v/>
      </c>
    </row>
    <row r="225" spans="1:14" ht="20" customHeight="1" x14ac:dyDescent="0.35">
      <c r="A225" s="3">
        <v>223</v>
      </c>
      <c r="E225" s="3" t="str">
        <f>IF(data_entry[[#This Row],[تاريخ الشكوي
mm/dd/yyyy]]="","",IF(data_entry[[#This Row],[تاريخ الحل
mm/dd/yyyy]]="","جاري الحل","تم الحل"))</f>
        <v/>
      </c>
      <c r="I225" s="3" t="str">
        <f t="shared" si="3"/>
        <v/>
      </c>
      <c r="J225" s="3" t="str">
        <f>IF(data_entry[[#This Row],[زمن الحل(يوم)]]="", "", IF(data_entry[[#This Row],[زمن الحل(يوم)]]&lt;=3, IF(data_entry[[#This Row],[زمن الحل(يوم)]]&gt;0, "نعم", "لا"), "لا"))</f>
        <v/>
      </c>
      <c r="K22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5" s="11" t="str">
        <f>IF(data_entry[[#This Row],[تاريخ الشكوي
mm/dd/yyyy]]="","",TEXT(data_entry[[#This Row],[تاريخ الشكوي
mm/dd/yyyy]],"mmm-yyyy"))</f>
        <v/>
      </c>
      <c r="M225" s="5" t="str">
        <f>IF(data_entry[[#This Row],[تاريخ الحل
mm/dd/yyyy]]="","",TEXT(data_entry[[#This Row],[تاريخ الحل
mm/dd/yyyy]],"mmm-yyyy"))</f>
        <v/>
      </c>
      <c r="N225" s="21" t="str">
        <f>IF(data_entry[[#This Row],[تاريخ التغذية الراجعة
mm/dd/yyyy]]="","",TEXT(data_entry[[#This Row],[تاريخ التغذية الراجعة
mm/dd/yyyy]],"mmm-yy"))</f>
        <v/>
      </c>
    </row>
    <row r="226" spans="1:14" ht="20" customHeight="1" x14ac:dyDescent="0.35">
      <c r="A226" s="3">
        <v>224</v>
      </c>
      <c r="E226" s="3" t="str">
        <f>IF(data_entry[[#This Row],[تاريخ الشكوي
mm/dd/yyyy]]="","",IF(data_entry[[#This Row],[تاريخ الحل
mm/dd/yyyy]]="","جاري الحل","تم الحل"))</f>
        <v/>
      </c>
      <c r="I226" s="3" t="str">
        <f t="shared" si="3"/>
        <v/>
      </c>
      <c r="J226" s="3" t="str">
        <f>IF(data_entry[[#This Row],[زمن الحل(يوم)]]="", "", IF(data_entry[[#This Row],[زمن الحل(يوم)]]&lt;=3, IF(data_entry[[#This Row],[زمن الحل(يوم)]]&gt;0, "نعم", "لا"), "لا"))</f>
        <v/>
      </c>
      <c r="K22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6" s="11" t="str">
        <f>IF(data_entry[[#This Row],[تاريخ الشكوي
mm/dd/yyyy]]="","",TEXT(data_entry[[#This Row],[تاريخ الشكوي
mm/dd/yyyy]],"mmm-yyyy"))</f>
        <v/>
      </c>
      <c r="M226" s="5" t="str">
        <f>IF(data_entry[[#This Row],[تاريخ الحل
mm/dd/yyyy]]="","",TEXT(data_entry[[#This Row],[تاريخ الحل
mm/dd/yyyy]],"mmm-yyyy"))</f>
        <v/>
      </c>
      <c r="N226" s="21" t="str">
        <f>IF(data_entry[[#This Row],[تاريخ التغذية الراجعة
mm/dd/yyyy]]="","",TEXT(data_entry[[#This Row],[تاريخ التغذية الراجعة
mm/dd/yyyy]],"mmm-yy"))</f>
        <v/>
      </c>
    </row>
    <row r="227" spans="1:14" ht="20" customHeight="1" x14ac:dyDescent="0.35">
      <c r="A227" s="3">
        <v>225</v>
      </c>
      <c r="E227" s="3" t="str">
        <f>IF(data_entry[[#This Row],[تاريخ الشكوي
mm/dd/yyyy]]="","",IF(data_entry[[#This Row],[تاريخ الحل
mm/dd/yyyy]]="","جاري الحل","تم الحل"))</f>
        <v/>
      </c>
      <c r="I227" s="3" t="str">
        <f t="shared" si="3"/>
        <v/>
      </c>
      <c r="J227" s="3" t="str">
        <f>IF(data_entry[[#This Row],[زمن الحل(يوم)]]="", "", IF(data_entry[[#This Row],[زمن الحل(يوم)]]&lt;=3, IF(data_entry[[#This Row],[زمن الحل(يوم)]]&gt;0, "نعم", "لا"), "لا"))</f>
        <v/>
      </c>
      <c r="K22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7" s="11" t="str">
        <f>IF(data_entry[[#This Row],[تاريخ الشكوي
mm/dd/yyyy]]="","",TEXT(data_entry[[#This Row],[تاريخ الشكوي
mm/dd/yyyy]],"mmm-yyyy"))</f>
        <v/>
      </c>
      <c r="M227" s="5" t="str">
        <f>IF(data_entry[[#This Row],[تاريخ الحل
mm/dd/yyyy]]="","",TEXT(data_entry[[#This Row],[تاريخ الحل
mm/dd/yyyy]],"mmm-yyyy"))</f>
        <v/>
      </c>
      <c r="N227" s="21" t="str">
        <f>IF(data_entry[[#This Row],[تاريخ التغذية الراجعة
mm/dd/yyyy]]="","",TEXT(data_entry[[#This Row],[تاريخ التغذية الراجعة
mm/dd/yyyy]],"mmm-yy"))</f>
        <v/>
      </c>
    </row>
    <row r="228" spans="1:14" ht="20" customHeight="1" x14ac:dyDescent="0.35">
      <c r="A228" s="3">
        <v>226</v>
      </c>
      <c r="E228" s="3" t="str">
        <f>IF(data_entry[[#This Row],[تاريخ الشكوي
mm/dd/yyyy]]="","",IF(data_entry[[#This Row],[تاريخ الحل
mm/dd/yyyy]]="","جاري الحل","تم الحل"))</f>
        <v/>
      </c>
      <c r="I228" s="3" t="str">
        <f t="shared" si="3"/>
        <v/>
      </c>
      <c r="J228" s="3" t="str">
        <f>IF(data_entry[[#This Row],[زمن الحل(يوم)]]="", "", IF(data_entry[[#This Row],[زمن الحل(يوم)]]&lt;=3, IF(data_entry[[#This Row],[زمن الحل(يوم)]]&gt;0, "نعم", "لا"), "لا"))</f>
        <v/>
      </c>
      <c r="K22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8" s="11" t="str">
        <f>IF(data_entry[[#This Row],[تاريخ الشكوي
mm/dd/yyyy]]="","",TEXT(data_entry[[#This Row],[تاريخ الشكوي
mm/dd/yyyy]],"mmm-yyyy"))</f>
        <v/>
      </c>
      <c r="M228" s="5" t="str">
        <f>IF(data_entry[[#This Row],[تاريخ الحل
mm/dd/yyyy]]="","",TEXT(data_entry[[#This Row],[تاريخ الحل
mm/dd/yyyy]],"mmm-yyyy"))</f>
        <v/>
      </c>
      <c r="N228" s="21" t="str">
        <f>IF(data_entry[[#This Row],[تاريخ التغذية الراجعة
mm/dd/yyyy]]="","",TEXT(data_entry[[#This Row],[تاريخ التغذية الراجعة
mm/dd/yyyy]],"mmm-yy"))</f>
        <v/>
      </c>
    </row>
    <row r="229" spans="1:14" ht="20" customHeight="1" x14ac:dyDescent="0.35">
      <c r="A229" s="3">
        <v>227</v>
      </c>
      <c r="E229" s="3" t="str">
        <f>IF(data_entry[[#This Row],[تاريخ الشكوي
mm/dd/yyyy]]="","",IF(data_entry[[#This Row],[تاريخ الحل
mm/dd/yyyy]]="","جاري الحل","تم الحل"))</f>
        <v/>
      </c>
      <c r="I229" s="3" t="str">
        <f t="shared" si="3"/>
        <v/>
      </c>
      <c r="J229" s="3" t="str">
        <f>IF(data_entry[[#This Row],[زمن الحل(يوم)]]="", "", IF(data_entry[[#This Row],[زمن الحل(يوم)]]&lt;=3, IF(data_entry[[#This Row],[زمن الحل(يوم)]]&gt;0, "نعم", "لا"), "لا"))</f>
        <v/>
      </c>
      <c r="K22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29" s="11" t="str">
        <f>IF(data_entry[[#This Row],[تاريخ الشكوي
mm/dd/yyyy]]="","",TEXT(data_entry[[#This Row],[تاريخ الشكوي
mm/dd/yyyy]],"mmm-yyyy"))</f>
        <v/>
      </c>
      <c r="M229" s="5" t="str">
        <f>IF(data_entry[[#This Row],[تاريخ الحل
mm/dd/yyyy]]="","",TEXT(data_entry[[#This Row],[تاريخ الحل
mm/dd/yyyy]],"mmm-yyyy"))</f>
        <v/>
      </c>
      <c r="N229" s="21" t="str">
        <f>IF(data_entry[[#This Row],[تاريخ التغذية الراجعة
mm/dd/yyyy]]="","",TEXT(data_entry[[#This Row],[تاريخ التغذية الراجعة
mm/dd/yyyy]],"mmm-yy"))</f>
        <v/>
      </c>
    </row>
    <row r="230" spans="1:14" ht="20" customHeight="1" x14ac:dyDescent="0.35">
      <c r="A230" s="3">
        <v>228</v>
      </c>
      <c r="E230" s="3" t="str">
        <f>IF(data_entry[[#This Row],[تاريخ الشكوي
mm/dd/yyyy]]="","",IF(data_entry[[#This Row],[تاريخ الحل
mm/dd/yyyy]]="","جاري الحل","تم الحل"))</f>
        <v/>
      </c>
      <c r="I230" s="3" t="str">
        <f t="shared" si="3"/>
        <v/>
      </c>
      <c r="J230" s="3" t="str">
        <f>IF(data_entry[[#This Row],[زمن الحل(يوم)]]="", "", IF(data_entry[[#This Row],[زمن الحل(يوم)]]&lt;=3, IF(data_entry[[#This Row],[زمن الحل(يوم)]]&gt;0, "نعم", "لا"), "لا"))</f>
        <v/>
      </c>
      <c r="K23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0" s="11" t="str">
        <f>IF(data_entry[[#This Row],[تاريخ الشكوي
mm/dd/yyyy]]="","",TEXT(data_entry[[#This Row],[تاريخ الشكوي
mm/dd/yyyy]],"mmm-yyyy"))</f>
        <v/>
      </c>
      <c r="M230" s="5" t="str">
        <f>IF(data_entry[[#This Row],[تاريخ الحل
mm/dd/yyyy]]="","",TEXT(data_entry[[#This Row],[تاريخ الحل
mm/dd/yyyy]],"mmm-yyyy"))</f>
        <v/>
      </c>
      <c r="N230" s="21" t="str">
        <f>IF(data_entry[[#This Row],[تاريخ التغذية الراجعة
mm/dd/yyyy]]="","",TEXT(data_entry[[#This Row],[تاريخ التغذية الراجعة
mm/dd/yyyy]],"mmm-yy"))</f>
        <v/>
      </c>
    </row>
    <row r="231" spans="1:14" ht="20" customHeight="1" x14ac:dyDescent="0.35">
      <c r="A231" s="3">
        <v>229</v>
      </c>
      <c r="E231" s="3" t="str">
        <f>IF(data_entry[[#This Row],[تاريخ الشكوي
mm/dd/yyyy]]="","",IF(data_entry[[#This Row],[تاريخ الحل
mm/dd/yyyy]]="","جاري الحل","تم الحل"))</f>
        <v/>
      </c>
      <c r="I231" s="3" t="str">
        <f t="shared" si="3"/>
        <v/>
      </c>
      <c r="J231" s="3" t="str">
        <f>IF(data_entry[[#This Row],[زمن الحل(يوم)]]="", "", IF(data_entry[[#This Row],[زمن الحل(يوم)]]&lt;=3, IF(data_entry[[#This Row],[زمن الحل(يوم)]]&gt;0, "نعم", "لا"), "لا"))</f>
        <v/>
      </c>
      <c r="K23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1" s="11" t="str">
        <f>IF(data_entry[[#This Row],[تاريخ الشكوي
mm/dd/yyyy]]="","",TEXT(data_entry[[#This Row],[تاريخ الشكوي
mm/dd/yyyy]],"mmm-yyyy"))</f>
        <v/>
      </c>
      <c r="M231" s="5" t="str">
        <f>IF(data_entry[[#This Row],[تاريخ الحل
mm/dd/yyyy]]="","",TEXT(data_entry[[#This Row],[تاريخ الحل
mm/dd/yyyy]],"mmm-yyyy"))</f>
        <v/>
      </c>
      <c r="N231" s="21" t="str">
        <f>IF(data_entry[[#This Row],[تاريخ التغذية الراجعة
mm/dd/yyyy]]="","",TEXT(data_entry[[#This Row],[تاريخ التغذية الراجعة
mm/dd/yyyy]],"mmm-yy"))</f>
        <v/>
      </c>
    </row>
    <row r="232" spans="1:14" ht="20" customHeight="1" x14ac:dyDescent="0.35">
      <c r="A232" s="3">
        <v>230</v>
      </c>
      <c r="E232" s="3" t="str">
        <f>IF(data_entry[[#This Row],[تاريخ الشكوي
mm/dd/yyyy]]="","",IF(data_entry[[#This Row],[تاريخ الحل
mm/dd/yyyy]]="","جاري الحل","تم الحل"))</f>
        <v/>
      </c>
      <c r="I232" s="3" t="str">
        <f t="shared" si="3"/>
        <v/>
      </c>
      <c r="J232" s="3" t="str">
        <f>IF(data_entry[[#This Row],[زمن الحل(يوم)]]="", "", IF(data_entry[[#This Row],[زمن الحل(يوم)]]&lt;=3, IF(data_entry[[#This Row],[زمن الحل(يوم)]]&gt;0, "نعم", "لا"), "لا"))</f>
        <v/>
      </c>
      <c r="K23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2" s="11" t="str">
        <f>IF(data_entry[[#This Row],[تاريخ الشكوي
mm/dd/yyyy]]="","",TEXT(data_entry[[#This Row],[تاريخ الشكوي
mm/dd/yyyy]],"mmm-yyyy"))</f>
        <v/>
      </c>
      <c r="M232" s="5" t="str">
        <f>IF(data_entry[[#This Row],[تاريخ الحل
mm/dd/yyyy]]="","",TEXT(data_entry[[#This Row],[تاريخ الحل
mm/dd/yyyy]],"mmm-yyyy"))</f>
        <v/>
      </c>
      <c r="N232" s="21" t="str">
        <f>IF(data_entry[[#This Row],[تاريخ التغذية الراجعة
mm/dd/yyyy]]="","",TEXT(data_entry[[#This Row],[تاريخ التغذية الراجعة
mm/dd/yyyy]],"mmm-yy"))</f>
        <v/>
      </c>
    </row>
    <row r="233" spans="1:14" ht="20" customHeight="1" x14ac:dyDescent="0.35">
      <c r="A233" s="3">
        <v>231</v>
      </c>
      <c r="E233" s="3" t="str">
        <f>IF(data_entry[[#This Row],[تاريخ الشكوي
mm/dd/yyyy]]="","",IF(data_entry[[#This Row],[تاريخ الحل
mm/dd/yyyy]]="","جاري الحل","تم الحل"))</f>
        <v/>
      </c>
      <c r="I233" s="3" t="str">
        <f t="shared" si="3"/>
        <v/>
      </c>
      <c r="J233" s="3" t="str">
        <f>IF(data_entry[[#This Row],[زمن الحل(يوم)]]="", "", IF(data_entry[[#This Row],[زمن الحل(يوم)]]&lt;=3, IF(data_entry[[#This Row],[زمن الحل(يوم)]]&gt;0, "نعم", "لا"), "لا"))</f>
        <v/>
      </c>
      <c r="K23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3" s="11" t="str">
        <f>IF(data_entry[[#This Row],[تاريخ الشكوي
mm/dd/yyyy]]="","",TEXT(data_entry[[#This Row],[تاريخ الشكوي
mm/dd/yyyy]],"mmm-yyyy"))</f>
        <v/>
      </c>
      <c r="M233" s="5" t="str">
        <f>IF(data_entry[[#This Row],[تاريخ الحل
mm/dd/yyyy]]="","",TEXT(data_entry[[#This Row],[تاريخ الحل
mm/dd/yyyy]],"mmm-yyyy"))</f>
        <v/>
      </c>
      <c r="N233" s="21" t="str">
        <f>IF(data_entry[[#This Row],[تاريخ التغذية الراجعة
mm/dd/yyyy]]="","",TEXT(data_entry[[#This Row],[تاريخ التغذية الراجعة
mm/dd/yyyy]],"mmm-yy"))</f>
        <v/>
      </c>
    </row>
    <row r="234" spans="1:14" ht="20" customHeight="1" x14ac:dyDescent="0.35">
      <c r="A234" s="3">
        <v>232</v>
      </c>
      <c r="E234" s="3" t="str">
        <f>IF(data_entry[[#This Row],[تاريخ الشكوي
mm/dd/yyyy]]="","",IF(data_entry[[#This Row],[تاريخ الحل
mm/dd/yyyy]]="","جاري الحل","تم الحل"))</f>
        <v/>
      </c>
      <c r="I234" s="3" t="str">
        <f t="shared" si="3"/>
        <v/>
      </c>
      <c r="J234" s="3" t="str">
        <f>IF(data_entry[[#This Row],[زمن الحل(يوم)]]="", "", IF(data_entry[[#This Row],[زمن الحل(يوم)]]&lt;=3, IF(data_entry[[#This Row],[زمن الحل(يوم)]]&gt;0, "نعم", "لا"), "لا"))</f>
        <v/>
      </c>
      <c r="K23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4" s="11" t="str">
        <f>IF(data_entry[[#This Row],[تاريخ الشكوي
mm/dd/yyyy]]="","",TEXT(data_entry[[#This Row],[تاريخ الشكوي
mm/dd/yyyy]],"mmm-yyyy"))</f>
        <v/>
      </c>
      <c r="M234" s="5" t="str">
        <f>IF(data_entry[[#This Row],[تاريخ الحل
mm/dd/yyyy]]="","",TEXT(data_entry[[#This Row],[تاريخ الحل
mm/dd/yyyy]],"mmm-yyyy"))</f>
        <v/>
      </c>
      <c r="N234" s="21" t="str">
        <f>IF(data_entry[[#This Row],[تاريخ التغذية الراجعة
mm/dd/yyyy]]="","",TEXT(data_entry[[#This Row],[تاريخ التغذية الراجعة
mm/dd/yyyy]],"mmm-yy"))</f>
        <v/>
      </c>
    </row>
    <row r="235" spans="1:14" ht="20" customHeight="1" x14ac:dyDescent="0.35">
      <c r="A235" s="3">
        <v>233</v>
      </c>
      <c r="E235" s="3" t="str">
        <f>IF(data_entry[[#This Row],[تاريخ الشكوي
mm/dd/yyyy]]="","",IF(data_entry[[#This Row],[تاريخ الحل
mm/dd/yyyy]]="","جاري الحل","تم الحل"))</f>
        <v/>
      </c>
      <c r="I235" s="3" t="str">
        <f t="shared" si="3"/>
        <v/>
      </c>
      <c r="J235" s="3" t="str">
        <f>IF(data_entry[[#This Row],[زمن الحل(يوم)]]="", "", IF(data_entry[[#This Row],[زمن الحل(يوم)]]&lt;=3, IF(data_entry[[#This Row],[زمن الحل(يوم)]]&gt;0, "نعم", "لا"), "لا"))</f>
        <v/>
      </c>
      <c r="K23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5" s="11" t="str">
        <f>IF(data_entry[[#This Row],[تاريخ الشكوي
mm/dd/yyyy]]="","",TEXT(data_entry[[#This Row],[تاريخ الشكوي
mm/dd/yyyy]],"mmm-yyyy"))</f>
        <v/>
      </c>
      <c r="M235" s="5" t="str">
        <f>IF(data_entry[[#This Row],[تاريخ الحل
mm/dd/yyyy]]="","",TEXT(data_entry[[#This Row],[تاريخ الحل
mm/dd/yyyy]],"mmm-yyyy"))</f>
        <v/>
      </c>
      <c r="N235" s="21" t="str">
        <f>IF(data_entry[[#This Row],[تاريخ التغذية الراجعة
mm/dd/yyyy]]="","",TEXT(data_entry[[#This Row],[تاريخ التغذية الراجعة
mm/dd/yyyy]],"mmm-yy"))</f>
        <v/>
      </c>
    </row>
    <row r="236" spans="1:14" ht="20" customHeight="1" x14ac:dyDescent="0.35">
      <c r="A236" s="3">
        <v>234</v>
      </c>
      <c r="E236" s="3" t="str">
        <f>IF(data_entry[[#This Row],[تاريخ الشكوي
mm/dd/yyyy]]="","",IF(data_entry[[#This Row],[تاريخ الحل
mm/dd/yyyy]]="","جاري الحل","تم الحل"))</f>
        <v/>
      </c>
      <c r="I236" s="3" t="str">
        <f t="shared" si="3"/>
        <v/>
      </c>
      <c r="J236" s="3" t="str">
        <f>IF(data_entry[[#This Row],[زمن الحل(يوم)]]="", "", IF(data_entry[[#This Row],[زمن الحل(يوم)]]&lt;=3, IF(data_entry[[#This Row],[زمن الحل(يوم)]]&gt;0, "نعم", "لا"), "لا"))</f>
        <v/>
      </c>
      <c r="K23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6" s="11" t="str">
        <f>IF(data_entry[[#This Row],[تاريخ الشكوي
mm/dd/yyyy]]="","",TEXT(data_entry[[#This Row],[تاريخ الشكوي
mm/dd/yyyy]],"mmm-yyyy"))</f>
        <v/>
      </c>
      <c r="M236" s="5" t="str">
        <f>IF(data_entry[[#This Row],[تاريخ الحل
mm/dd/yyyy]]="","",TEXT(data_entry[[#This Row],[تاريخ الحل
mm/dd/yyyy]],"mmm-yyyy"))</f>
        <v/>
      </c>
      <c r="N236" s="21" t="str">
        <f>IF(data_entry[[#This Row],[تاريخ التغذية الراجعة
mm/dd/yyyy]]="","",TEXT(data_entry[[#This Row],[تاريخ التغذية الراجعة
mm/dd/yyyy]],"mmm-yy"))</f>
        <v/>
      </c>
    </row>
    <row r="237" spans="1:14" ht="20" customHeight="1" x14ac:dyDescent="0.35">
      <c r="A237" s="3">
        <v>235</v>
      </c>
      <c r="E237" s="3" t="str">
        <f>IF(data_entry[[#This Row],[تاريخ الشكوي
mm/dd/yyyy]]="","",IF(data_entry[[#This Row],[تاريخ الحل
mm/dd/yyyy]]="","جاري الحل","تم الحل"))</f>
        <v/>
      </c>
      <c r="I237" s="3" t="str">
        <f t="shared" si="3"/>
        <v/>
      </c>
      <c r="J237" s="3" t="str">
        <f>IF(data_entry[[#This Row],[زمن الحل(يوم)]]="", "", IF(data_entry[[#This Row],[زمن الحل(يوم)]]&lt;=3, IF(data_entry[[#This Row],[زمن الحل(يوم)]]&gt;0, "نعم", "لا"), "لا"))</f>
        <v/>
      </c>
      <c r="K23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7" s="11" t="str">
        <f>IF(data_entry[[#This Row],[تاريخ الشكوي
mm/dd/yyyy]]="","",TEXT(data_entry[[#This Row],[تاريخ الشكوي
mm/dd/yyyy]],"mmm-yyyy"))</f>
        <v/>
      </c>
      <c r="M237" s="5" t="str">
        <f>IF(data_entry[[#This Row],[تاريخ الحل
mm/dd/yyyy]]="","",TEXT(data_entry[[#This Row],[تاريخ الحل
mm/dd/yyyy]],"mmm-yyyy"))</f>
        <v/>
      </c>
      <c r="N237" s="21" t="str">
        <f>IF(data_entry[[#This Row],[تاريخ التغذية الراجعة
mm/dd/yyyy]]="","",TEXT(data_entry[[#This Row],[تاريخ التغذية الراجعة
mm/dd/yyyy]],"mmm-yy"))</f>
        <v/>
      </c>
    </row>
    <row r="238" spans="1:14" ht="20" customHeight="1" x14ac:dyDescent="0.35">
      <c r="A238" s="3">
        <v>236</v>
      </c>
      <c r="E238" s="3" t="str">
        <f>IF(data_entry[[#This Row],[تاريخ الشكوي
mm/dd/yyyy]]="","",IF(data_entry[[#This Row],[تاريخ الحل
mm/dd/yyyy]]="","جاري الحل","تم الحل"))</f>
        <v/>
      </c>
      <c r="I238" s="3" t="str">
        <f t="shared" si="3"/>
        <v/>
      </c>
      <c r="J238" s="3" t="str">
        <f>IF(data_entry[[#This Row],[زمن الحل(يوم)]]="", "", IF(data_entry[[#This Row],[زمن الحل(يوم)]]&lt;=3, IF(data_entry[[#This Row],[زمن الحل(يوم)]]&gt;0, "نعم", "لا"), "لا"))</f>
        <v/>
      </c>
      <c r="K23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8" s="11" t="str">
        <f>IF(data_entry[[#This Row],[تاريخ الشكوي
mm/dd/yyyy]]="","",TEXT(data_entry[[#This Row],[تاريخ الشكوي
mm/dd/yyyy]],"mmm-yyyy"))</f>
        <v/>
      </c>
      <c r="M238" s="5" t="str">
        <f>IF(data_entry[[#This Row],[تاريخ الحل
mm/dd/yyyy]]="","",TEXT(data_entry[[#This Row],[تاريخ الحل
mm/dd/yyyy]],"mmm-yyyy"))</f>
        <v/>
      </c>
      <c r="N238" s="21" t="str">
        <f>IF(data_entry[[#This Row],[تاريخ التغذية الراجعة
mm/dd/yyyy]]="","",TEXT(data_entry[[#This Row],[تاريخ التغذية الراجعة
mm/dd/yyyy]],"mmm-yy"))</f>
        <v/>
      </c>
    </row>
    <row r="239" spans="1:14" ht="20" customHeight="1" x14ac:dyDescent="0.35">
      <c r="A239" s="3">
        <v>237</v>
      </c>
      <c r="E239" s="3" t="str">
        <f>IF(data_entry[[#This Row],[تاريخ الشكوي
mm/dd/yyyy]]="","",IF(data_entry[[#This Row],[تاريخ الحل
mm/dd/yyyy]]="","جاري الحل","تم الحل"))</f>
        <v/>
      </c>
      <c r="I239" s="3" t="str">
        <f t="shared" si="3"/>
        <v/>
      </c>
      <c r="J239" s="3" t="str">
        <f>IF(data_entry[[#This Row],[زمن الحل(يوم)]]="", "", IF(data_entry[[#This Row],[زمن الحل(يوم)]]&lt;=3, IF(data_entry[[#This Row],[زمن الحل(يوم)]]&gt;0, "نعم", "لا"), "لا"))</f>
        <v/>
      </c>
      <c r="K23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39" s="11" t="str">
        <f>IF(data_entry[[#This Row],[تاريخ الشكوي
mm/dd/yyyy]]="","",TEXT(data_entry[[#This Row],[تاريخ الشكوي
mm/dd/yyyy]],"mmm-yyyy"))</f>
        <v/>
      </c>
      <c r="M239" s="5" t="str">
        <f>IF(data_entry[[#This Row],[تاريخ الحل
mm/dd/yyyy]]="","",TEXT(data_entry[[#This Row],[تاريخ الحل
mm/dd/yyyy]],"mmm-yyyy"))</f>
        <v/>
      </c>
      <c r="N239" s="21" t="str">
        <f>IF(data_entry[[#This Row],[تاريخ التغذية الراجعة
mm/dd/yyyy]]="","",TEXT(data_entry[[#This Row],[تاريخ التغذية الراجعة
mm/dd/yyyy]],"mmm-yy"))</f>
        <v/>
      </c>
    </row>
    <row r="240" spans="1:14" ht="20" customHeight="1" x14ac:dyDescent="0.35">
      <c r="A240" s="3">
        <v>238</v>
      </c>
      <c r="E240" s="3" t="str">
        <f>IF(data_entry[[#This Row],[تاريخ الشكوي
mm/dd/yyyy]]="","",IF(data_entry[[#This Row],[تاريخ الحل
mm/dd/yyyy]]="","جاري الحل","تم الحل"))</f>
        <v/>
      </c>
      <c r="I240" s="3" t="str">
        <f t="shared" si="3"/>
        <v/>
      </c>
      <c r="J240" s="3" t="str">
        <f>IF(data_entry[[#This Row],[زمن الحل(يوم)]]="", "", IF(data_entry[[#This Row],[زمن الحل(يوم)]]&lt;=3, IF(data_entry[[#This Row],[زمن الحل(يوم)]]&gt;0, "نعم", "لا"), "لا"))</f>
        <v/>
      </c>
      <c r="K24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0" s="11" t="str">
        <f>IF(data_entry[[#This Row],[تاريخ الشكوي
mm/dd/yyyy]]="","",TEXT(data_entry[[#This Row],[تاريخ الشكوي
mm/dd/yyyy]],"mmm-yyyy"))</f>
        <v/>
      </c>
      <c r="M240" s="5" t="str">
        <f>IF(data_entry[[#This Row],[تاريخ الحل
mm/dd/yyyy]]="","",TEXT(data_entry[[#This Row],[تاريخ الحل
mm/dd/yyyy]],"mmm-yyyy"))</f>
        <v/>
      </c>
      <c r="N240" s="21" t="str">
        <f>IF(data_entry[[#This Row],[تاريخ التغذية الراجعة
mm/dd/yyyy]]="","",TEXT(data_entry[[#This Row],[تاريخ التغذية الراجعة
mm/dd/yyyy]],"mmm-yy"))</f>
        <v/>
      </c>
    </row>
    <row r="241" spans="1:14" ht="20" customHeight="1" x14ac:dyDescent="0.35">
      <c r="A241" s="3">
        <v>239</v>
      </c>
      <c r="E241" s="3" t="str">
        <f>IF(data_entry[[#This Row],[تاريخ الشكوي
mm/dd/yyyy]]="","",IF(data_entry[[#This Row],[تاريخ الحل
mm/dd/yyyy]]="","جاري الحل","تم الحل"))</f>
        <v/>
      </c>
      <c r="I241" s="3" t="str">
        <f t="shared" si="3"/>
        <v/>
      </c>
      <c r="J241" s="3" t="str">
        <f>IF(data_entry[[#This Row],[زمن الحل(يوم)]]="", "", IF(data_entry[[#This Row],[زمن الحل(يوم)]]&lt;=3, IF(data_entry[[#This Row],[زمن الحل(يوم)]]&gt;0, "نعم", "لا"), "لا"))</f>
        <v/>
      </c>
      <c r="K24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1" s="11" t="str">
        <f>IF(data_entry[[#This Row],[تاريخ الشكوي
mm/dd/yyyy]]="","",TEXT(data_entry[[#This Row],[تاريخ الشكوي
mm/dd/yyyy]],"mmm-yyyy"))</f>
        <v/>
      </c>
      <c r="M241" s="5" t="str">
        <f>IF(data_entry[[#This Row],[تاريخ الحل
mm/dd/yyyy]]="","",TEXT(data_entry[[#This Row],[تاريخ الحل
mm/dd/yyyy]],"mmm-yyyy"))</f>
        <v/>
      </c>
      <c r="N241" s="21" t="str">
        <f>IF(data_entry[[#This Row],[تاريخ التغذية الراجعة
mm/dd/yyyy]]="","",TEXT(data_entry[[#This Row],[تاريخ التغذية الراجعة
mm/dd/yyyy]],"mmm-yy"))</f>
        <v/>
      </c>
    </row>
    <row r="242" spans="1:14" ht="20" customHeight="1" x14ac:dyDescent="0.35">
      <c r="A242" s="3">
        <v>240</v>
      </c>
      <c r="E242" s="3" t="str">
        <f>IF(data_entry[[#This Row],[تاريخ الشكوي
mm/dd/yyyy]]="","",IF(data_entry[[#This Row],[تاريخ الحل
mm/dd/yyyy]]="","جاري الحل","تم الحل"))</f>
        <v/>
      </c>
      <c r="I242" s="3" t="str">
        <f t="shared" si="3"/>
        <v/>
      </c>
      <c r="J242" s="3" t="str">
        <f>IF(data_entry[[#This Row],[زمن الحل(يوم)]]="", "", IF(data_entry[[#This Row],[زمن الحل(يوم)]]&lt;=3, IF(data_entry[[#This Row],[زمن الحل(يوم)]]&gt;0, "نعم", "لا"), "لا"))</f>
        <v/>
      </c>
      <c r="K24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2" s="11" t="str">
        <f>IF(data_entry[[#This Row],[تاريخ الشكوي
mm/dd/yyyy]]="","",TEXT(data_entry[[#This Row],[تاريخ الشكوي
mm/dd/yyyy]],"mmm-yyyy"))</f>
        <v/>
      </c>
      <c r="M242" s="5" t="str">
        <f>IF(data_entry[[#This Row],[تاريخ الحل
mm/dd/yyyy]]="","",TEXT(data_entry[[#This Row],[تاريخ الحل
mm/dd/yyyy]],"mmm-yyyy"))</f>
        <v/>
      </c>
      <c r="N242" s="21" t="str">
        <f>IF(data_entry[[#This Row],[تاريخ التغذية الراجعة
mm/dd/yyyy]]="","",TEXT(data_entry[[#This Row],[تاريخ التغذية الراجعة
mm/dd/yyyy]],"mmm-yy"))</f>
        <v/>
      </c>
    </row>
    <row r="243" spans="1:14" ht="20" customHeight="1" x14ac:dyDescent="0.35">
      <c r="A243" s="3">
        <v>241</v>
      </c>
      <c r="E243" s="3" t="str">
        <f>IF(data_entry[[#This Row],[تاريخ الشكوي
mm/dd/yyyy]]="","",IF(data_entry[[#This Row],[تاريخ الحل
mm/dd/yyyy]]="","جاري الحل","تم الحل"))</f>
        <v/>
      </c>
      <c r="I243" s="3" t="str">
        <f t="shared" si="3"/>
        <v/>
      </c>
      <c r="J243" s="3" t="str">
        <f>IF(data_entry[[#This Row],[زمن الحل(يوم)]]="", "", IF(data_entry[[#This Row],[زمن الحل(يوم)]]&lt;=3, IF(data_entry[[#This Row],[زمن الحل(يوم)]]&gt;0, "نعم", "لا"), "لا"))</f>
        <v/>
      </c>
      <c r="K24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3" s="11" t="str">
        <f>IF(data_entry[[#This Row],[تاريخ الشكوي
mm/dd/yyyy]]="","",TEXT(data_entry[[#This Row],[تاريخ الشكوي
mm/dd/yyyy]],"mmm-yyyy"))</f>
        <v/>
      </c>
      <c r="M243" s="5" t="str">
        <f>IF(data_entry[[#This Row],[تاريخ الحل
mm/dd/yyyy]]="","",TEXT(data_entry[[#This Row],[تاريخ الحل
mm/dd/yyyy]],"mmm-yyyy"))</f>
        <v/>
      </c>
      <c r="N243" s="21" t="str">
        <f>IF(data_entry[[#This Row],[تاريخ التغذية الراجعة
mm/dd/yyyy]]="","",TEXT(data_entry[[#This Row],[تاريخ التغذية الراجعة
mm/dd/yyyy]],"mmm-yy"))</f>
        <v/>
      </c>
    </row>
    <row r="244" spans="1:14" ht="20" customHeight="1" x14ac:dyDescent="0.35">
      <c r="A244" s="3">
        <v>242</v>
      </c>
      <c r="E244" s="3" t="str">
        <f>IF(data_entry[[#This Row],[تاريخ الشكوي
mm/dd/yyyy]]="","",IF(data_entry[[#This Row],[تاريخ الحل
mm/dd/yyyy]]="","جاري الحل","تم الحل"))</f>
        <v/>
      </c>
      <c r="I244" s="3" t="str">
        <f t="shared" si="3"/>
        <v/>
      </c>
      <c r="J244" s="3" t="str">
        <f>IF(data_entry[[#This Row],[زمن الحل(يوم)]]="", "", IF(data_entry[[#This Row],[زمن الحل(يوم)]]&lt;=3, IF(data_entry[[#This Row],[زمن الحل(يوم)]]&gt;0, "نعم", "لا"), "لا"))</f>
        <v/>
      </c>
      <c r="K24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4" s="11" t="str">
        <f>IF(data_entry[[#This Row],[تاريخ الشكوي
mm/dd/yyyy]]="","",TEXT(data_entry[[#This Row],[تاريخ الشكوي
mm/dd/yyyy]],"mmm-yyyy"))</f>
        <v/>
      </c>
      <c r="M244" s="5" t="str">
        <f>IF(data_entry[[#This Row],[تاريخ الحل
mm/dd/yyyy]]="","",TEXT(data_entry[[#This Row],[تاريخ الحل
mm/dd/yyyy]],"mmm-yyyy"))</f>
        <v/>
      </c>
      <c r="N244" s="21" t="str">
        <f>IF(data_entry[[#This Row],[تاريخ التغذية الراجعة
mm/dd/yyyy]]="","",TEXT(data_entry[[#This Row],[تاريخ التغذية الراجعة
mm/dd/yyyy]],"mmm-yy"))</f>
        <v/>
      </c>
    </row>
    <row r="245" spans="1:14" ht="20" customHeight="1" x14ac:dyDescent="0.35">
      <c r="A245" s="3">
        <v>243</v>
      </c>
      <c r="E245" s="3" t="str">
        <f>IF(data_entry[[#This Row],[تاريخ الشكوي
mm/dd/yyyy]]="","",IF(data_entry[[#This Row],[تاريخ الحل
mm/dd/yyyy]]="","جاري الحل","تم الحل"))</f>
        <v/>
      </c>
      <c r="I245" s="3" t="str">
        <f t="shared" si="3"/>
        <v/>
      </c>
      <c r="J245" s="3" t="str">
        <f>IF(data_entry[[#This Row],[زمن الحل(يوم)]]="", "", IF(data_entry[[#This Row],[زمن الحل(يوم)]]&lt;=3, IF(data_entry[[#This Row],[زمن الحل(يوم)]]&gt;0, "نعم", "لا"), "لا"))</f>
        <v/>
      </c>
      <c r="K24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5" s="11" t="str">
        <f>IF(data_entry[[#This Row],[تاريخ الشكوي
mm/dd/yyyy]]="","",TEXT(data_entry[[#This Row],[تاريخ الشكوي
mm/dd/yyyy]],"mmm-yyyy"))</f>
        <v/>
      </c>
      <c r="M245" s="5" t="str">
        <f>IF(data_entry[[#This Row],[تاريخ الحل
mm/dd/yyyy]]="","",TEXT(data_entry[[#This Row],[تاريخ الحل
mm/dd/yyyy]],"mmm-yyyy"))</f>
        <v/>
      </c>
      <c r="N245" s="21" t="str">
        <f>IF(data_entry[[#This Row],[تاريخ التغذية الراجعة
mm/dd/yyyy]]="","",TEXT(data_entry[[#This Row],[تاريخ التغذية الراجعة
mm/dd/yyyy]],"mmm-yy"))</f>
        <v/>
      </c>
    </row>
    <row r="246" spans="1:14" ht="20" customHeight="1" x14ac:dyDescent="0.35">
      <c r="A246" s="3">
        <v>244</v>
      </c>
      <c r="E246" s="3" t="str">
        <f>IF(data_entry[[#This Row],[تاريخ الشكوي
mm/dd/yyyy]]="","",IF(data_entry[[#This Row],[تاريخ الحل
mm/dd/yyyy]]="","جاري الحل","تم الحل"))</f>
        <v/>
      </c>
      <c r="I246" s="3" t="str">
        <f t="shared" si="3"/>
        <v/>
      </c>
      <c r="J246" s="3" t="str">
        <f>IF(data_entry[[#This Row],[زمن الحل(يوم)]]="", "", IF(data_entry[[#This Row],[زمن الحل(يوم)]]&lt;=3, IF(data_entry[[#This Row],[زمن الحل(يوم)]]&gt;0, "نعم", "لا"), "لا"))</f>
        <v/>
      </c>
      <c r="K24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6" s="11" t="str">
        <f>IF(data_entry[[#This Row],[تاريخ الشكوي
mm/dd/yyyy]]="","",TEXT(data_entry[[#This Row],[تاريخ الشكوي
mm/dd/yyyy]],"mmm-yyyy"))</f>
        <v/>
      </c>
      <c r="M246" s="5" t="str">
        <f>IF(data_entry[[#This Row],[تاريخ الحل
mm/dd/yyyy]]="","",TEXT(data_entry[[#This Row],[تاريخ الحل
mm/dd/yyyy]],"mmm-yyyy"))</f>
        <v/>
      </c>
      <c r="N246" s="21" t="str">
        <f>IF(data_entry[[#This Row],[تاريخ التغذية الراجعة
mm/dd/yyyy]]="","",TEXT(data_entry[[#This Row],[تاريخ التغذية الراجعة
mm/dd/yyyy]],"mmm-yy"))</f>
        <v/>
      </c>
    </row>
    <row r="247" spans="1:14" ht="20" customHeight="1" x14ac:dyDescent="0.35">
      <c r="A247" s="3">
        <v>245</v>
      </c>
      <c r="E247" s="3" t="str">
        <f>IF(data_entry[[#This Row],[تاريخ الشكوي
mm/dd/yyyy]]="","",IF(data_entry[[#This Row],[تاريخ الحل
mm/dd/yyyy]]="","جاري الحل","تم الحل"))</f>
        <v/>
      </c>
      <c r="I247" s="3" t="str">
        <f t="shared" si="3"/>
        <v/>
      </c>
      <c r="J247" s="3" t="str">
        <f>IF(data_entry[[#This Row],[زمن الحل(يوم)]]="", "", IF(data_entry[[#This Row],[زمن الحل(يوم)]]&lt;=3, IF(data_entry[[#This Row],[زمن الحل(يوم)]]&gt;0, "نعم", "لا"), "لا"))</f>
        <v/>
      </c>
      <c r="K24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7" s="11" t="str">
        <f>IF(data_entry[[#This Row],[تاريخ الشكوي
mm/dd/yyyy]]="","",TEXT(data_entry[[#This Row],[تاريخ الشكوي
mm/dd/yyyy]],"mmm-yyyy"))</f>
        <v/>
      </c>
      <c r="M247" s="5" t="str">
        <f>IF(data_entry[[#This Row],[تاريخ الحل
mm/dd/yyyy]]="","",TEXT(data_entry[[#This Row],[تاريخ الحل
mm/dd/yyyy]],"mmm-yyyy"))</f>
        <v/>
      </c>
      <c r="N247" s="21" t="str">
        <f>IF(data_entry[[#This Row],[تاريخ التغذية الراجعة
mm/dd/yyyy]]="","",TEXT(data_entry[[#This Row],[تاريخ التغذية الراجعة
mm/dd/yyyy]],"mmm-yy"))</f>
        <v/>
      </c>
    </row>
    <row r="248" spans="1:14" ht="20" customHeight="1" x14ac:dyDescent="0.35">
      <c r="A248" s="3">
        <v>246</v>
      </c>
      <c r="E248" s="3" t="str">
        <f>IF(data_entry[[#This Row],[تاريخ الشكوي
mm/dd/yyyy]]="","",IF(data_entry[[#This Row],[تاريخ الحل
mm/dd/yyyy]]="","جاري الحل","تم الحل"))</f>
        <v/>
      </c>
      <c r="I248" s="3" t="str">
        <f t="shared" si="3"/>
        <v/>
      </c>
      <c r="J248" s="3" t="str">
        <f>IF(data_entry[[#This Row],[زمن الحل(يوم)]]="", "", IF(data_entry[[#This Row],[زمن الحل(يوم)]]&lt;=3, IF(data_entry[[#This Row],[زمن الحل(يوم)]]&gt;0, "نعم", "لا"), "لا"))</f>
        <v/>
      </c>
      <c r="K24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8" s="11" t="str">
        <f>IF(data_entry[[#This Row],[تاريخ الشكوي
mm/dd/yyyy]]="","",TEXT(data_entry[[#This Row],[تاريخ الشكوي
mm/dd/yyyy]],"mmm-yyyy"))</f>
        <v/>
      </c>
      <c r="M248" s="5" t="str">
        <f>IF(data_entry[[#This Row],[تاريخ الحل
mm/dd/yyyy]]="","",TEXT(data_entry[[#This Row],[تاريخ الحل
mm/dd/yyyy]],"mmm-yyyy"))</f>
        <v/>
      </c>
      <c r="N248" s="21" t="str">
        <f>IF(data_entry[[#This Row],[تاريخ التغذية الراجعة
mm/dd/yyyy]]="","",TEXT(data_entry[[#This Row],[تاريخ التغذية الراجعة
mm/dd/yyyy]],"mmm-yy"))</f>
        <v/>
      </c>
    </row>
    <row r="249" spans="1:14" ht="20" customHeight="1" x14ac:dyDescent="0.35">
      <c r="A249" s="3">
        <v>247</v>
      </c>
      <c r="E249" s="3" t="str">
        <f>IF(data_entry[[#This Row],[تاريخ الشكوي
mm/dd/yyyy]]="","",IF(data_entry[[#This Row],[تاريخ الحل
mm/dd/yyyy]]="","جاري الحل","تم الحل"))</f>
        <v/>
      </c>
      <c r="I249" s="3" t="str">
        <f t="shared" si="3"/>
        <v/>
      </c>
      <c r="J249" s="3" t="str">
        <f>IF(data_entry[[#This Row],[زمن الحل(يوم)]]="", "", IF(data_entry[[#This Row],[زمن الحل(يوم)]]&lt;=3, IF(data_entry[[#This Row],[زمن الحل(يوم)]]&gt;0, "نعم", "لا"), "لا"))</f>
        <v/>
      </c>
      <c r="K24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49" s="11" t="str">
        <f>IF(data_entry[[#This Row],[تاريخ الشكوي
mm/dd/yyyy]]="","",TEXT(data_entry[[#This Row],[تاريخ الشكوي
mm/dd/yyyy]],"mmm-yyyy"))</f>
        <v/>
      </c>
      <c r="M249" s="5" t="str">
        <f>IF(data_entry[[#This Row],[تاريخ الحل
mm/dd/yyyy]]="","",TEXT(data_entry[[#This Row],[تاريخ الحل
mm/dd/yyyy]],"mmm-yyyy"))</f>
        <v/>
      </c>
      <c r="N249" s="21" t="str">
        <f>IF(data_entry[[#This Row],[تاريخ التغذية الراجعة
mm/dd/yyyy]]="","",TEXT(data_entry[[#This Row],[تاريخ التغذية الراجعة
mm/dd/yyyy]],"mmm-yy"))</f>
        <v/>
      </c>
    </row>
    <row r="250" spans="1:14" ht="20" customHeight="1" x14ac:dyDescent="0.35">
      <c r="A250" s="3">
        <v>248</v>
      </c>
      <c r="E250" s="3" t="str">
        <f>IF(data_entry[[#This Row],[تاريخ الشكوي
mm/dd/yyyy]]="","",IF(data_entry[[#This Row],[تاريخ الحل
mm/dd/yyyy]]="","جاري الحل","تم الحل"))</f>
        <v/>
      </c>
      <c r="I250" s="3" t="str">
        <f t="shared" si="3"/>
        <v/>
      </c>
      <c r="J250" s="3" t="str">
        <f>IF(data_entry[[#This Row],[زمن الحل(يوم)]]="", "", IF(data_entry[[#This Row],[زمن الحل(يوم)]]&lt;=3, IF(data_entry[[#This Row],[زمن الحل(يوم)]]&gt;0, "نعم", "لا"), "لا"))</f>
        <v/>
      </c>
      <c r="K25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0" s="11" t="str">
        <f>IF(data_entry[[#This Row],[تاريخ الشكوي
mm/dd/yyyy]]="","",TEXT(data_entry[[#This Row],[تاريخ الشكوي
mm/dd/yyyy]],"mmm-yyyy"))</f>
        <v/>
      </c>
      <c r="M250" s="5" t="str">
        <f>IF(data_entry[[#This Row],[تاريخ الحل
mm/dd/yyyy]]="","",TEXT(data_entry[[#This Row],[تاريخ الحل
mm/dd/yyyy]],"mmm-yyyy"))</f>
        <v/>
      </c>
      <c r="N250" s="21" t="str">
        <f>IF(data_entry[[#This Row],[تاريخ التغذية الراجعة
mm/dd/yyyy]]="","",TEXT(data_entry[[#This Row],[تاريخ التغذية الراجعة
mm/dd/yyyy]],"mmm-yy"))</f>
        <v/>
      </c>
    </row>
    <row r="251" spans="1:14" ht="20" customHeight="1" x14ac:dyDescent="0.35">
      <c r="A251" s="3">
        <v>249</v>
      </c>
      <c r="E251" s="3" t="str">
        <f>IF(data_entry[[#This Row],[تاريخ الشكوي
mm/dd/yyyy]]="","",IF(data_entry[[#This Row],[تاريخ الحل
mm/dd/yyyy]]="","جاري الحل","تم الحل"))</f>
        <v/>
      </c>
      <c r="I251" s="3" t="str">
        <f t="shared" si="3"/>
        <v/>
      </c>
      <c r="J251" s="3" t="str">
        <f>IF(data_entry[[#This Row],[زمن الحل(يوم)]]="", "", IF(data_entry[[#This Row],[زمن الحل(يوم)]]&lt;=3, IF(data_entry[[#This Row],[زمن الحل(يوم)]]&gt;0, "نعم", "لا"), "لا"))</f>
        <v/>
      </c>
      <c r="K25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1" s="11" t="str">
        <f>IF(data_entry[[#This Row],[تاريخ الشكوي
mm/dd/yyyy]]="","",TEXT(data_entry[[#This Row],[تاريخ الشكوي
mm/dd/yyyy]],"mmm-yyyy"))</f>
        <v/>
      </c>
      <c r="M251" s="5" t="str">
        <f>IF(data_entry[[#This Row],[تاريخ الحل
mm/dd/yyyy]]="","",TEXT(data_entry[[#This Row],[تاريخ الحل
mm/dd/yyyy]],"mmm-yyyy"))</f>
        <v/>
      </c>
      <c r="N251" s="21" t="str">
        <f>IF(data_entry[[#This Row],[تاريخ التغذية الراجعة
mm/dd/yyyy]]="","",TEXT(data_entry[[#This Row],[تاريخ التغذية الراجعة
mm/dd/yyyy]],"mmm-yy"))</f>
        <v/>
      </c>
    </row>
    <row r="252" spans="1:14" ht="20" customHeight="1" x14ac:dyDescent="0.35">
      <c r="A252" s="3">
        <v>250</v>
      </c>
      <c r="E252" s="3" t="str">
        <f>IF(data_entry[[#This Row],[تاريخ الشكوي
mm/dd/yyyy]]="","",IF(data_entry[[#This Row],[تاريخ الحل
mm/dd/yyyy]]="","جاري الحل","تم الحل"))</f>
        <v/>
      </c>
      <c r="I252" s="3" t="str">
        <f t="shared" si="3"/>
        <v/>
      </c>
      <c r="J252" s="3" t="str">
        <f>IF(data_entry[[#This Row],[زمن الحل(يوم)]]="", "", IF(data_entry[[#This Row],[زمن الحل(يوم)]]&lt;=3, IF(data_entry[[#This Row],[زمن الحل(يوم)]]&gt;0, "نعم", "لا"), "لا"))</f>
        <v/>
      </c>
      <c r="K25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2" s="11" t="str">
        <f>IF(data_entry[[#This Row],[تاريخ الشكوي
mm/dd/yyyy]]="","",TEXT(data_entry[[#This Row],[تاريخ الشكوي
mm/dd/yyyy]],"mmm-yyyy"))</f>
        <v/>
      </c>
      <c r="M252" s="5" t="str">
        <f>IF(data_entry[[#This Row],[تاريخ الحل
mm/dd/yyyy]]="","",TEXT(data_entry[[#This Row],[تاريخ الحل
mm/dd/yyyy]],"mmm-yyyy"))</f>
        <v/>
      </c>
      <c r="N252" s="21" t="str">
        <f>IF(data_entry[[#This Row],[تاريخ التغذية الراجعة
mm/dd/yyyy]]="","",TEXT(data_entry[[#This Row],[تاريخ التغذية الراجعة
mm/dd/yyyy]],"mmm-yy"))</f>
        <v/>
      </c>
    </row>
    <row r="253" spans="1:14" ht="20" customHeight="1" x14ac:dyDescent="0.35">
      <c r="A253" s="3">
        <v>251</v>
      </c>
      <c r="E253" s="3" t="str">
        <f>IF(data_entry[[#This Row],[تاريخ الشكوي
mm/dd/yyyy]]="","",IF(data_entry[[#This Row],[تاريخ الحل
mm/dd/yyyy]]="","جاري الحل","تم الحل"))</f>
        <v/>
      </c>
      <c r="I253" s="3" t="str">
        <f t="shared" si="3"/>
        <v/>
      </c>
      <c r="J253" s="3" t="str">
        <f>IF(data_entry[[#This Row],[زمن الحل(يوم)]]="", "", IF(data_entry[[#This Row],[زمن الحل(يوم)]]&lt;=3, IF(data_entry[[#This Row],[زمن الحل(يوم)]]&gt;0, "نعم", "لا"), "لا"))</f>
        <v/>
      </c>
      <c r="K25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3" s="11" t="str">
        <f>IF(data_entry[[#This Row],[تاريخ الشكوي
mm/dd/yyyy]]="","",TEXT(data_entry[[#This Row],[تاريخ الشكوي
mm/dd/yyyy]],"mmm-yyyy"))</f>
        <v/>
      </c>
      <c r="M253" s="5" t="str">
        <f>IF(data_entry[[#This Row],[تاريخ الحل
mm/dd/yyyy]]="","",TEXT(data_entry[[#This Row],[تاريخ الحل
mm/dd/yyyy]],"mmm-yyyy"))</f>
        <v/>
      </c>
      <c r="N253" s="21" t="str">
        <f>IF(data_entry[[#This Row],[تاريخ التغذية الراجعة
mm/dd/yyyy]]="","",TEXT(data_entry[[#This Row],[تاريخ التغذية الراجعة
mm/dd/yyyy]],"mmm-yy"))</f>
        <v/>
      </c>
    </row>
    <row r="254" spans="1:14" ht="20" customHeight="1" x14ac:dyDescent="0.35">
      <c r="A254" s="3">
        <v>252</v>
      </c>
      <c r="E254" s="3" t="str">
        <f>IF(data_entry[[#This Row],[تاريخ الشكوي
mm/dd/yyyy]]="","",IF(data_entry[[#This Row],[تاريخ الحل
mm/dd/yyyy]]="","جاري الحل","تم الحل"))</f>
        <v/>
      </c>
      <c r="I254" s="3" t="str">
        <f t="shared" si="3"/>
        <v/>
      </c>
      <c r="J254" s="3" t="str">
        <f>IF(data_entry[[#This Row],[زمن الحل(يوم)]]="", "", IF(data_entry[[#This Row],[زمن الحل(يوم)]]&lt;=3, IF(data_entry[[#This Row],[زمن الحل(يوم)]]&gt;0, "نعم", "لا"), "لا"))</f>
        <v/>
      </c>
      <c r="K25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4" s="11" t="str">
        <f>IF(data_entry[[#This Row],[تاريخ الشكوي
mm/dd/yyyy]]="","",TEXT(data_entry[[#This Row],[تاريخ الشكوي
mm/dd/yyyy]],"mmm-yyyy"))</f>
        <v/>
      </c>
      <c r="M254" s="5" t="str">
        <f>IF(data_entry[[#This Row],[تاريخ الحل
mm/dd/yyyy]]="","",TEXT(data_entry[[#This Row],[تاريخ الحل
mm/dd/yyyy]],"mmm-yyyy"))</f>
        <v/>
      </c>
      <c r="N254" s="21" t="str">
        <f>IF(data_entry[[#This Row],[تاريخ التغذية الراجعة
mm/dd/yyyy]]="","",TEXT(data_entry[[#This Row],[تاريخ التغذية الراجعة
mm/dd/yyyy]],"mmm-yy"))</f>
        <v/>
      </c>
    </row>
    <row r="255" spans="1:14" ht="20" customHeight="1" x14ac:dyDescent="0.35">
      <c r="A255" s="3">
        <v>253</v>
      </c>
      <c r="E255" s="3" t="str">
        <f>IF(data_entry[[#This Row],[تاريخ الشكوي
mm/dd/yyyy]]="","",IF(data_entry[[#This Row],[تاريخ الحل
mm/dd/yyyy]]="","جاري الحل","تم الحل"))</f>
        <v/>
      </c>
      <c r="I255" s="3" t="str">
        <f t="shared" si="3"/>
        <v/>
      </c>
      <c r="J255" s="3" t="str">
        <f>IF(data_entry[[#This Row],[زمن الحل(يوم)]]="", "", IF(data_entry[[#This Row],[زمن الحل(يوم)]]&lt;=3, IF(data_entry[[#This Row],[زمن الحل(يوم)]]&gt;0, "نعم", "لا"), "لا"))</f>
        <v/>
      </c>
      <c r="K25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5" s="11" t="str">
        <f>IF(data_entry[[#This Row],[تاريخ الشكوي
mm/dd/yyyy]]="","",TEXT(data_entry[[#This Row],[تاريخ الشكوي
mm/dd/yyyy]],"mmm-yyyy"))</f>
        <v/>
      </c>
      <c r="M255" s="5" t="str">
        <f>IF(data_entry[[#This Row],[تاريخ الحل
mm/dd/yyyy]]="","",TEXT(data_entry[[#This Row],[تاريخ الحل
mm/dd/yyyy]],"mmm-yyyy"))</f>
        <v/>
      </c>
      <c r="N255" s="21" t="str">
        <f>IF(data_entry[[#This Row],[تاريخ التغذية الراجعة
mm/dd/yyyy]]="","",TEXT(data_entry[[#This Row],[تاريخ التغذية الراجعة
mm/dd/yyyy]],"mmm-yy"))</f>
        <v/>
      </c>
    </row>
    <row r="256" spans="1:14" ht="20" customHeight="1" x14ac:dyDescent="0.35">
      <c r="A256" s="3">
        <v>254</v>
      </c>
      <c r="E256" s="3" t="str">
        <f>IF(data_entry[[#This Row],[تاريخ الشكوي
mm/dd/yyyy]]="","",IF(data_entry[[#This Row],[تاريخ الحل
mm/dd/yyyy]]="","جاري الحل","تم الحل"))</f>
        <v/>
      </c>
      <c r="I256" s="3" t="str">
        <f t="shared" si="3"/>
        <v/>
      </c>
      <c r="J256" s="3" t="str">
        <f>IF(data_entry[[#This Row],[زمن الحل(يوم)]]="", "", IF(data_entry[[#This Row],[زمن الحل(يوم)]]&lt;=3, IF(data_entry[[#This Row],[زمن الحل(يوم)]]&gt;0, "نعم", "لا"), "لا"))</f>
        <v/>
      </c>
      <c r="K25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6" s="11" t="str">
        <f>IF(data_entry[[#This Row],[تاريخ الشكوي
mm/dd/yyyy]]="","",TEXT(data_entry[[#This Row],[تاريخ الشكوي
mm/dd/yyyy]],"mmm-yyyy"))</f>
        <v/>
      </c>
      <c r="M256" s="5" t="str">
        <f>IF(data_entry[[#This Row],[تاريخ الحل
mm/dd/yyyy]]="","",TEXT(data_entry[[#This Row],[تاريخ الحل
mm/dd/yyyy]],"mmm-yyyy"))</f>
        <v/>
      </c>
      <c r="N256" s="21" t="str">
        <f>IF(data_entry[[#This Row],[تاريخ التغذية الراجعة
mm/dd/yyyy]]="","",TEXT(data_entry[[#This Row],[تاريخ التغذية الراجعة
mm/dd/yyyy]],"mmm-yy"))</f>
        <v/>
      </c>
    </row>
    <row r="257" spans="1:14" ht="20" customHeight="1" x14ac:dyDescent="0.35">
      <c r="A257" s="3">
        <v>255</v>
      </c>
      <c r="E257" s="3" t="str">
        <f>IF(data_entry[[#This Row],[تاريخ الشكوي
mm/dd/yyyy]]="","",IF(data_entry[[#This Row],[تاريخ الحل
mm/dd/yyyy]]="","جاري الحل","تم الحل"))</f>
        <v/>
      </c>
      <c r="I257" s="3" t="str">
        <f t="shared" si="3"/>
        <v/>
      </c>
      <c r="J257" s="3" t="str">
        <f>IF(data_entry[[#This Row],[زمن الحل(يوم)]]="", "", IF(data_entry[[#This Row],[زمن الحل(يوم)]]&lt;=3, IF(data_entry[[#This Row],[زمن الحل(يوم)]]&gt;0, "نعم", "لا"), "لا"))</f>
        <v/>
      </c>
      <c r="K25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7" s="11" t="str">
        <f>IF(data_entry[[#This Row],[تاريخ الشكوي
mm/dd/yyyy]]="","",TEXT(data_entry[[#This Row],[تاريخ الشكوي
mm/dd/yyyy]],"mmm-yyyy"))</f>
        <v/>
      </c>
      <c r="M257" s="5" t="str">
        <f>IF(data_entry[[#This Row],[تاريخ الحل
mm/dd/yyyy]]="","",TEXT(data_entry[[#This Row],[تاريخ الحل
mm/dd/yyyy]],"mmm-yyyy"))</f>
        <v/>
      </c>
      <c r="N257" s="21" t="str">
        <f>IF(data_entry[[#This Row],[تاريخ التغذية الراجعة
mm/dd/yyyy]]="","",TEXT(data_entry[[#This Row],[تاريخ التغذية الراجعة
mm/dd/yyyy]],"mmm-yy"))</f>
        <v/>
      </c>
    </row>
    <row r="258" spans="1:14" ht="20" customHeight="1" x14ac:dyDescent="0.35">
      <c r="A258" s="3">
        <v>256</v>
      </c>
      <c r="E258" s="3" t="str">
        <f>IF(data_entry[[#This Row],[تاريخ الشكوي
mm/dd/yyyy]]="","",IF(data_entry[[#This Row],[تاريخ الحل
mm/dd/yyyy]]="","جاري الحل","تم الحل"))</f>
        <v/>
      </c>
      <c r="I258" s="3" t="str">
        <f t="shared" si="3"/>
        <v/>
      </c>
      <c r="J258" s="3" t="str">
        <f>IF(data_entry[[#This Row],[زمن الحل(يوم)]]="", "", IF(data_entry[[#This Row],[زمن الحل(يوم)]]&lt;=3, IF(data_entry[[#This Row],[زمن الحل(يوم)]]&gt;0, "نعم", "لا"), "لا"))</f>
        <v/>
      </c>
      <c r="K25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8" s="11" t="str">
        <f>IF(data_entry[[#This Row],[تاريخ الشكوي
mm/dd/yyyy]]="","",TEXT(data_entry[[#This Row],[تاريخ الشكوي
mm/dd/yyyy]],"mmm-yyyy"))</f>
        <v/>
      </c>
      <c r="M258" s="5" t="str">
        <f>IF(data_entry[[#This Row],[تاريخ الحل
mm/dd/yyyy]]="","",TEXT(data_entry[[#This Row],[تاريخ الحل
mm/dd/yyyy]],"mmm-yyyy"))</f>
        <v/>
      </c>
      <c r="N258" s="21" t="str">
        <f>IF(data_entry[[#This Row],[تاريخ التغذية الراجعة
mm/dd/yyyy]]="","",TEXT(data_entry[[#This Row],[تاريخ التغذية الراجعة
mm/dd/yyyy]],"mmm-yy"))</f>
        <v/>
      </c>
    </row>
    <row r="259" spans="1:14" ht="20" customHeight="1" x14ac:dyDescent="0.35">
      <c r="A259" s="3">
        <v>257</v>
      </c>
      <c r="E259" s="3" t="str">
        <f>IF(data_entry[[#This Row],[تاريخ الشكوي
mm/dd/yyyy]]="","",IF(data_entry[[#This Row],[تاريخ الحل
mm/dd/yyyy]]="","جاري الحل","تم الحل"))</f>
        <v/>
      </c>
      <c r="I259" s="3" t="str">
        <f t="shared" si="3"/>
        <v/>
      </c>
      <c r="J259" s="3" t="str">
        <f>IF(data_entry[[#This Row],[زمن الحل(يوم)]]="", "", IF(data_entry[[#This Row],[زمن الحل(يوم)]]&lt;=3, IF(data_entry[[#This Row],[زمن الحل(يوم)]]&gt;0, "نعم", "لا"), "لا"))</f>
        <v/>
      </c>
      <c r="K25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59" s="11" t="str">
        <f>IF(data_entry[[#This Row],[تاريخ الشكوي
mm/dd/yyyy]]="","",TEXT(data_entry[[#This Row],[تاريخ الشكوي
mm/dd/yyyy]],"mmm-yyyy"))</f>
        <v/>
      </c>
      <c r="M259" s="5" t="str">
        <f>IF(data_entry[[#This Row],[تاريخ الحل
mm/dd/yyyy]]="","",TEXT(data_entry[[#This Row],[تاريخ الحل
mm/dd/yyyy]],"mmm-yyyy"))</f>
        <v/>
      </c>
      <c r="N259" s="21" t="str">
        <f>IF(data_entry[[#This Row],[تاريخ التغذية الراجعة
mm/dd/yyyy]]="","",TEXT(data_entry[[#This Row],[تاريخ التغذية الراجعة
mm/dd/yyyy]],"mmm-yy"))</f>
        <v/>
      </c>
    </row>
    <row r="260" spans="1:14" ht="20" customHeight="1" x14ac:dyDescent="0.35">
      <c r="A260" s="3">
        <v>258</v>
      </c>
      <c r="E260" s="3" t="str">
        <f>IF(data_entry[[#This Row],[تاريخ الشكوي
mm/dd/yyyy]]="","",IF(data_entry[[#This Row],[تاريخ الحل
mm/dd/yyyy]]="","جاري الحل","تم الحل"))</f>
        <v/>
      </c>
      <c r="I260" s="3" t="str">
        <f t="shared" ref="I260:I323" si="4">IF(K260="","",IF(K260=0,"نعم","لا"))</f>
        <v/>
      </c>
      <c r="J260" s="3" t="str">
        <f>IF(data_entry[[#This Row],[زمن الحل(يوم)]]="", "", IF(data_entry[[#This Row],[زمن الحل(يوم)]]&lt;=3, IF(data_entry[[#This Row],[زمن الحل(يوم)]]&gt;0, "نعم", "لا"), "لا"))</f>
        <v/>
      </c>
      <c r="K26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0" s="11" t="str">
        <f>IF(data_entry[[#This Row],[تاريخ الشكوي
mm/dd/yyyy]]="","",TEXT(data_entry[[#This Row],[تاريخ الشكوي
mm/dd/yyyy]],"mmm-yyyy"))</f>
        <v/>
      </c>
      <c r="M260" s="5" t="str">
        <f>IF(data_entry[[#This Row],[تاريخ الحل
mm/dd/yyyy]]="","",TEXT(data_entry[[#This Row],[تاريخ الحل
mm/dd/yyyy]],"mmm-yyyy"))</f>
        <v/>
      </c>
      <c r="N260" s="21" t="str">
        <f>IF(data_entry[[#This Row],[تاريخ التغذية الراجعة
mm/dd/yyyy]]="","",TEXT(data_entry[[#This Row],[تاريخ التغذية الراجعة
mm/dd/yyyy]],"mmm-yy"))</f>
        <v/>
      </c>
    </row>
    <row r="261" spans="1:14" ht="20" customHeight="1" x14ac:dyDescent="0.35">
      <c r="A261" s="3">
        <v>259</v>
      </c>
      <c r="E261" s="3" t="str">
        <f>IF(data_entry[[#This Row],[تاريخ الشكوي
mm/dd/yyyy]]="","",IF(data_entry[[#This Row],[تاريخ الحل
mm/dd/yyyy]]="","جاري الحل","تم الحل"))</f>
        <v/>
      </c>
      <c r="I261" s="3" t="str">
        <f t="shared" si="4"/>
        <v/>
      </c>
      <c r="J261" s="3" t="str">
        <f>IF(data_entry[[#This Row],[زمن الحل(يوم)]]="", "", IF(data_entry[[#This Row],[زمن الحل(يوم)]]&lt;=3, IF(data_entry[[#This Row],[زمن الحل(يوم)]]&gt;0, "نعم", "لا"), "لا"))</f>
        <v/>
      </c>
      <c r="K26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1" s="11" t="str">
        <f>IF(data_entry[[#This Row],[تاريخ الشكوي
mm/dd/yyyy]]="","",TEXT(data_entry[[#This Row],[تاريخ الشكوي
mm/dd/yyyy]],"mmm-yyyy"))</f>
        <v/>
      </c>
      <c r="M261" s="5" t="str">
        <f>IF(data_entry[[#This Row],[تاريخ الحل
mm/dd/yyyy]]="","",TEXT(data_entry[[#This Row],[تاريخ الحل
mm/dd/yyyy]],"mmm-yyyy"))</f>
        <v/>
      </c>
      <c r="N261" s="21" t="str">
        <f>IF(data_entry[[#This Row],[تاريخ التغذية الراجعة
mm/dd/yyyy]]="","",TEXT(data_entry[[#This Row],[تاريخ التغذية الراجعة
mm/dd/yyyy]],"mmm-yy"))</f>
        <v/>
      </c>
    </row>
    <row r="262" spans="1:14" ht="20" customHeight="1" x14ac:dyDescent="0.35">
      <c r="A262" s="3">
        <v>260</v>
      </c>
      <c r="E262" s="3" t="str">
        <f>IF(data_entry[[#This Row],[تاريخ الشكوي
mm/dd/yyyy]]="","",IF(data_entry[[#This Row],[تاريخ الحل
mm/dd/yyyy]]="","جاري الحل","تم الحل"))</f>
        <v/>
      </c>
      <c r="I262" s="3" t="str">
        <f t="shared" si="4"/>
        <v/>
      </c>
      <c r="J262" s="3" t="str">
        <f>IF(data_entry[[#This Row],[زمن الحل(يوم)]]="", "", IF(data_entry[[#This Row],[زمن الحل(يوم)]]&lt;=3, IF(data_entry[[#This Row],[زمن الحل(يوم)]]&gt;0, "نعم", "لا"), "لا"))</f>
        <v/>
      </c>
      <c r="K26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2" s="11" t="str">
        <f>IF(data_entry[[#This Row],[تاريخ الشكوي
mm/dd/yyyy]]="","",TEXT(data_entry[[#This Row],[تاريخ الشكوي
mm/dd/yyyy]],"mmm-yyyy"))</f>
        <v/>
      </c>
      <c r="M262" s="5" t="str">
        <f>IF(data_entry[[#This Row],[تاريخ الحل
mm/dd/yyyy]]="","",TEXT(data_entry[[#This Row],[تاريخ الحل
mm/dd/yyyy]],"mmm-yyyy"))</f>
        <v/>
      </c>
      <c r="N262" s="21" t="str">
        <f>IF(data_entry[[#This Row],[تاريخ التغذية الراجعة
mm/dd/yyyy]]="","",TEXT(data_entry[[#This Row],[تاريخ التغذية الراجعة
mm/dd/yyyy]],"mmm-yy"))</f>
        <v/>
      </c>
    </row>
    <row r="263" spans="1:14" ht="20" customHeight="1" x14ac:dyDescent="0.35">
      <c r="A263" s="3">
        <v>261</v>
      </c>
      <c r="E263" s="3" t="str">
        <f>IF(data_entry[[#This Row],[تاريخ الشكوي
mm/dd/yyyy]]="","",IF(data_entry[[#This Row],[تاريخ الحل
mm/dd/yyyy]]="","جاري الحل","تم الحل"))</f>
        <v/>
      </c>
      <c r="I263" s="3" t="str">
        <f t="shared" si="4"/>
        <v/>
      </c>
      <c r="J263" s="3" t="str">
        <f>IF(data_entry[[#This Row],[زمن الحل(يوم)]]="", "", IF(data_entry[[#This Row],[زمن الحل(يوم)]]&lt;=3, IF(data_entry[[#This Row],[زمن الحل(يوم)]]&gt;0, "نعم", "لا"), "لا"))</f>
        <v/>
      </c>
      <c r="K26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3" s="11" t="str">
        <f>IF(data_entry[[#This Row],[تاريخ الشكوي
mm/dd/yyyy]]="","",TEXT(data_entry[[#This Row],[تاريخ الشكوي
mm/dd/yyyy]],"mmm-yyyy"))</f>
        <v/>
      </c>
      <c r="M263" s="5" t="str">
        <f>IF(data_entry[[#This Row],[تاريخ الحل
mm/dd/yyyy]]="","",TEXT(data_entry[[#This Row],[تاريخ الحل
mm/dd/yyyy]],"mmm-yyyy"))</f>
        <v/>
      </c>
      <c r="N263" s="21" t="str">
        <f>IF(data_entry[[#This Row],[تاريخ التغذية الراجعة
mm/dd/yyyy]]="","",TEXT(data_entry[[#This Row],[تاريخ التغذية الراجعة
mm/dd/yyyy]],"mmm-yy"))</f>
        <v/>
      </c>
    </row>
    <row r="264" spans="1:14" ht="20" customHeight="1" x14ac:dyDescent="0.35">
      <c r="A264" s="3">
        <v>262</v>
      </c>
      <c r="E264" s="3" t="str">
        <f>IF(data_entry[[#This Row],[تاريخ الشكوي
mm/dd/yyyy]]="","",IF(data_entry[[#This Row],[تاريخ الحل
mm/dd/yyyy]]="","جاري الحل","تم الحل"))</f>
        <v/>
      </c>
      <c r="I264" s="3" t="str">
        <f t="shared" si="4"/>
        <v/>
      </c>
      <c r="J264" s="3" t="str">
        <f>IF(data_entry[[#This Row],[زمن الحل(يوم)]]="", "", IF(data_entry[[#This Row],[زمن الحل(يوم)]]&lt;=3, IF(data_entry[[#This Row],[زمن الحل(يوم)]]&gt;0, "نعم", "لا"), "لا"))</f>
        <v/>
      </c>
      <c r="K26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4" s="11" t="str">
        <f>IF(data_entry[[#This Row],[تاريخ الشكوي
mm/dd/yyyy]]="","",TEXT(data_entry[[#This Row],[تاريخ الشكوي
mm/dd/yyyy]],"mmm-yyyy"))</f>
        <v/>
      </c>
      <c r="M264" s="5" t="str">
        <f>IF(data_entry[[#This Row],[تاريخ الحل
mm/dd/yyyy]]="","",TEXT(data_entry[[#This Row],[تاريخ الحل
mm/dd/yyyy]],"mmm-yyyy"))</f>
        <v/>
      </c>
      <c r="N264" s="21" t="str">
        <f>IF(data_entry[[#This Row],[تاريخ التغذية الراجعة
mm/dd/yyyy]]="","",TEXT(data_entry[[#This Row],[تاريخ التغذية الراجعة
mm/dd/yyyy]],"mmm-yy"))</f>
        <v/>
      </c>
    </row>
    <row r="265" spans="1:14" ht="20" customHeight="1" x14ac:dyDescent="0.35">
      <c r="A265" s="3">
        <v>263</v>
      </c>
      <c r="E265" s="3" t="str">
        <f>IF(data_entry[[#This Row],[تاريخ الشكوي
mm/dd/yyyy]]="","",IF(data_entry[[#This Row],[تاريخ الحل
mm/dd/yyyy]]="","جاري الحل","تم الحل"))</f>
        <v/>
      </c>
      <c r="I265" s="3" t="str">
        <f t="shared" si="4"/>
        <v/>
      </c>
      <c r="J265" s="3" t="str">
        <f>IF(data_entry[[#This Row],[زمن الحل(يوم)]]="", "", IF(data_entry[[#This Row],[زمن الحل(يوم)]]&lt;=3, IF(data_entry[[#This Row],[زمن الحل(يوم)]]&gt;0, "نعم", "لا"), "لا"))</f>
        <v/>
      </c>
      <c r="K26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5" s="11" t="str">
        <f>IF(data_entry[[#This Row],[تاريخ الشكوي
mm/dd/yyyy]]="","",TEXT(data_entry[[#This Row],[تاريخ الشكوي
mm/dd/yyyy]],"mmm-yyyy"))</f>
        <v/>
      </c>
      <c r="M265" s="5" t="str">
        <f>IF(data_entry[[#This Row],[تاريخ الحل
mm/dd/yyyy]]="","",TEXT(data_entry[[#This Row],[تاريخ الحل
mm/dd/yyyy]],"mmm-yyyy"))</f>
        <v/>
      </c>
      <c r="N265" s="21" t="str">
        <f>IF(data_entry[[#This Row],[تاريخ التغذية الراجعة
mm/dd/yyyy]]="","",TEXT(data_entry[[#This Row],[تاريخ التغذية الراجعة
mm/dd/yyyy]],"mmm-yy"))</f>
        <v/>
      </c>
    </row>
    <row r="266" spans="1:14" ht="20" customHeight="1" x14ac:dyDescent="0.35">
      <c r="A266" s="3">
        <v>264</v>
      </c>
      <c r="E266" s="3" t="str">
        <f>IF(data_entry[[#This Row],[تاريخ الشكوي
mm/dd/yyyy]]="","",IF(data_entry[[#This Row],[تاريخ الحل
mm/dd/yyyy]]="","جاري الحل","تم الحل"))</f>
        <v/>
      </c>
      <c r="I266" s="3" t="str">
        <f t="shared" si="4"/>
        <v/>
      </c>
      <c r="J266" s="3" t="str">
        <f>IF(data_entry[[#This Row],[زمن الحل(يوم)]]="", "", IF(data_entry[[#This Row],[زمن الحل(يوم)]]&lt;=3, IF(data_entry[[#This Row],[زمن الحل(يوم)]]&gt;0, "نعم", "لا"), "لا"))</f>
        <v/>
      </c>
      <c r="K26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6" s="11" t="str">
        <f>IF(data_entry[[#This Row],[تاريخ الشكوي
mm/dd/yyyy]]="","",TEXT(data_entry[[#This Row],[تاريخ الشكوي
mm/dd/yyyy]],"mmm-yyyy"))</f>
        <v/>
      </c>
      <c r="M266" s="5" t="str">
        <f>IF(data_entry[[#This Row],[تاريخ الحل
mm/dd/yyyy]]="","",TEXT(data_entry[[#This Row],[تاريخ الحل
mm/dd/yyyy]],"mmm-yyyy"))</f>
        <v/>
      </c>
      <c r="N266" s="21" t="str">
        <f>IF(data_entry[[#This Row],[تاريخ التغذية الراجعة
mm/dd/yyyy]]="","",TEXT(data_entry[[#This Row],[تاريخ التغذية الراجعة
mm/dd/yyyy]],"mmm-yy"))</f>
        <v/>
      </c>
    </row>
    <row r="267" spans="1:14" ht="20" customHeight="1" x14ac:dyDescent="0.35">
      <c r="A267" s="3">
        <v>265</v>
      </c>
      <c r="E267" s="3" t="str">
        <f>IF(data_entry[[#This Row],[تاريخ الشكوي
mm/dd/yyyy]]="","",IF(data_entry[[#This Row],[تاريخ الحل
mm/dd/yyyy]]="","جاري الحل","تم الحل"))</f>
        <v/>
      </c>
      <c r="I267" s="3" t="str">
        <f t="shared" si="4"/>
        <v/>
      </c>
      <c r="J267" s="3" t="str">
        <f>IF(data_entry[[#This Row],[زمن الحل(يوم)]]="", "", IF(data_entry[[#This Row],[زمن الحل(يوم)]]&lt;=3, IF(data_entry[[#This Row],[زمن الحل(يوم)]]&gt;0, "نعم", "لا"), "لا"))</f>
        <v/>
      </c>
      <c r="K26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7" s="11" t="str">
        <f>IF(data_entry[[#This Row],[تاريخ الشكوي
mm/dd/yyyy]]="","",TEXT(data_entry[[#This Row],[تاريخ الشكوي
mm/dd/yyyy]],"mmm-yyyy"))</f>
        <v/>
      </c>
      <c r="M267" s="5" t="str">
        <f>IF(data_entry[[#This Row],[تاريخ الحل
mm/dd/yyyy]]="","",TEXT(data_entry[[#This Row],[تاريخ الحل
mm/dd/yyyy]],"mmm-yyyy"))</f>
        <v/>
      </c>
      <c r="N267" s="21" t="str">
        <f>IF(data_entry[[#This Row],[تاريخ التغذية الراجعة
mm/dd/yyyy]]="","",TEXT(data_entry[[#This Row],[تاريخ التغذية الراجعة
mm/dd/yyyy]],"mmm-yy"))</f>
        <v/>
      </c>
    </row>
    <row r="268" spans="1:14" ht="20" customHeight="1" x14ac:dyDescent="0.35">
      <c r="A268" s="3">
        <v>266</v>
      </c>
      <c r="E268" s="3" t="str">
        <f>IF(data_entry[[#This Row],[تاريخ الشكوي
mm/dd/yyyy]]="","",IF(data_entry[[#This Row],[تاريخ الحل
mm/dd/yyyy]]="","جاري الحل","تم الحل"))</f>
        <v/>
      </c>
      <c r="I268" s="3" t="str">
        <f t="shared" si="4"/>
        <v/>
      </c>
      <c r="J268" s="3" t="str">
        <f>IF(data_entry[[#This Row],[زمن الحل(يوم)]]="", "", IF(data_entry[[#This Row],[زمن الحل(يوم)]]&lt;=3, IF(data_entry[[#This Row],[زمن الحل(يوم)]]&gt;0, "نعم", "لا"), "لا"))</f>
        <v/>
      </c>
      <c r="K26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8" s="11" t="str">
        <f>IF(data_entry[[#This Row],[تاريخ الشكوي
mm/dd/yyyy]]="","",TEXT(data_entry[[#This Row],[تاريخ الشكوي
mm/dd/yyyy]],"mmm-yyyy"))</f>
        <v/>
      </c>
      <c r="M268" s="5" t="str">
        <f>IF(data_entry[[#This Row],[تاريخ الحل
mm/dd/yyyy]]="","",TEXT(data_entry[[#This Row],[تاريخ الحل
mm/dd/yyyy]],"mmm-yyyy"))</f>
        <v/>
      </c>
      <c r="N268" s="21" t="str">
        <f>IF(data_entry[[#This Row],[تاريخ التغذية الراجعة
mm/dd/yyyy]]="","",TEXT(data_entry[[#This Row],[تاريخ التغذية الراجعة
mm/dd/yyyy]],"mmm-yy"))</f>
        <v/>
      </c>
    </row>
    <row r="269" spans="1:14" ht="20" customHeight="1" x14ac:dyDescent="0.35">
      <c r="A269" s="3">
        <v>267</v>
      </c>
      <c r="E269" s="3" t="str">
        <f>IF(data_entry[[#This Row],[تاريخ الشكوي
mm/dd/yyyy]]="","",IF(data_entry[[#This Row],[تاريخ الحل
mm/dd/yyyy]]="","جاري الحل","تم الحل"))</f>
        <v/>
      </c>
      <c r="I269" s="3" t="str">
        <f t="shared" si="4"/>
        <v/>
      </c>
      <c r="J269" s="3" t="str">
        <f>IF(data_entry[[#This Row],[زمن الحل(يوم)]]="", "", IF(data_entry[[#This Row],[زمن الحل(يوم)]]&lt;=3, IF(data_entry[[#This Row],[زمن الحل(يوم)]]&gt;0, "نعم", "لا"), "لا"))</f>
        <v/>
      </c>
      <c r="K26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69" s="11" t="str">
        <f>IF(data_entry[[#This Row],[تاريخ الشكوي
mm/dd/yyyy]]="","",TEXT(data_entry[[#This Row],[تاريخ الشكوي
mm/dd/yyyy]],"mmm-yyyy"))</f>
        <v/>
      </c>
      <c r="M269" s="5" t="str">
        <f>IF(data_entry[[#This Row],[تاريخ الحل
mm/dd/yyyy]]="","",TEXT(data_entry[[#This Row],[تاريخ الحل
mm/dd/yyyy]],"mmm-yyyy"))</f>
        <v/>
      </c>
      <c r="N269" s="21" t="str">
        <f>IF(data_entry[[#This Row],[تاريخ التغذية الراجعة
mm/dd/yyyy]]="","",TEXT(data_entry[[#This Row],[تاريخ التغذية الراجعة
mm/dd/yyyy]],"mmm-yy"))</f>
        <v/>
      </c>
    </row>
    <row r="270" spans="1:14" ht="20" customHeight="1" x14ac:dyDescent="0.35">
      <c r="A270" s="3">
        <v>268</v>
      </c>
      <c r="E270" s="3" t="str">
        <f>IF(data_entry[[#This Row],[تاريخ الشكوي
mm/dd/yyyy]]="","",IF(data_entry[[#This Row],[تاريخ الحل
mm/dd/yyyy]]="","جاري الحل","تم الحل"))</f>
        <v/>
      </c>
      <c r="I270" s="3" t="str">
        <f t="shared" si="4"/>
        <v/>
      </c>
      <c r="J270" s="3" t="str">
        <f>IF(data_entry[[#This Row],[زمن الحل(يوم)]]="", "", IF(data_entry[[#This Row],[زمن الحل(يوم)]]&lt;=3, IF(data_entry[[#This Row],[زمن الحل(يوم)]]&gt;0, "نعم", "لا"), "لا"))</f>
        <v/>
      </c>
      <c r="K27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0" s="11" t="str">
        <f>IF(data_entry[[#This Row],[تاريخ الشكوي
mm/dd/yyyy]]="","",TEXT(data_entry[[#This Row],[تاريخ الشكوي
mm/dd/yyyy]],"mmm-yyyy"))</f>
        <v/>
      </c>
      <c r="M270" s="5" t="str">
        <f>IF(data_entry[[#This Row],[تاريخ الحل
mm/dd/yyyy]]="","",TEXT(data_entry[[#This Row],[تاريخ الحل
mm/dd/yyyy]],"mmm-yyyy"))</f>
        <v/>
      </c>
      <c r="N270" s="21" t="str">
        <f>IF(data_entry[[#This Row],[تاريخ التغذية الراجعة
mm/dd/yyyy]]="","",TEXT(data_entry[[#This Row],[تاريخ التغذية الراجعة
mm/dd/yyyy]],"mmm-yy"))</f>
        <v/>
      </c>
    </row>
    <row r="271" spans="1:14" ht="20" customHeight="1" x14ac:dyDescent="0.35">
      <c r="A271" s="3">
        <v>269</v>
      </c>
      <c r="E271" s="3" t="str">
        <f>IF(data_entry[[#This Row],[تاريخ الشكوي
mm/dd/yyyy]]="","",IF(data_entry[[#This Row],[تاريخ الحل
mm/dd/yyyy]]="","جاري الحل","تم الحل"))</f>
        <v/>
      </c>
      <c r="I271" s="3" t="str">
        <f t="shared" si="4"/>
        <v/>
      </c>
      <c r="J271" s="3" t="str">
        <f>IF(data_entry[[#This Row],[زمن الحل(يوم)]]="", "", IF(data_entry[[#This Row],[زمن الحل(يوم)]]&lt;=3, IF(data_entry[[#This Row],[زمن الحل(يوم)]]&gt;0, "نعم", "لا"), "لا"))</f>
        <v/>
      </c>
      <c r="K27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1" s="11" t="str">
        <f>IF(data_entry[[#This Row],[تاريخ الشكوي
mm/dd/yyyy]]="","",TEXT(data_entry[[#This Row],[تاريخ الشكوي
mm/dd/yyyy]],"mmm-yyyy"))</f>
        <v/>
      </c>
      <c r="M271" s="5" t="str">
        <f>IF(data_entry[[#This Row],[تاريخ الحل
mm/dd/yyyy]]="","",TEXT(data_entry[[#This Row],[تاريخ الحل
mm/dd/yyyy]],"mmm-yyyy"))</f>
        <v/>
      </c>
      <c r="N271" s="21" t="str">
        <f>IF(data_entry[[#This Row],[تاريخ التغذية الراجعة
mm/dd/yyyy]]="","",TEXT(data_entry[[#This Row],[تاريخ التغذية الراجعة
mm/dd/yyyy]],"mmm-yy"))</f>
        <v/>
      </c>
    </row>
    <row r="272" spans="1:14" ht="20" customHeight="1" x14ac:dyDescent="0.35">
      <c r="A272" s="3">
        <v>270</v>
      </c>
      <c r="E272" s="3" t="str">
        <f>IF(data_entry[[#This Row],[تاريخ الشكوي
mm/dd/yyyy]]="","",IF(data_entry[[#This Row],[تاريخ الحل
mm/dd/yyyy]]="","جاري الحل","تم الحل"))</f>
        <v/>
      </c>
      <c r="I272" s="3" t="str">
        <f t="shared" si="4"/>
        <v/>
      </c>
      <c r="J272" s="3" t="str">
        <f>IF(data_entry[[#This Row],[زمن الحل(يوم)]]="", "", IF(data_entry[[#This Row],[زمن الحل(يوم)]]&lt;=3, IF(data_entry[[#This Row],[زمن الحل(يوم)]]&gt;0, "نعم", "لا"), "لا"))</f>
        <v/>
      </c>
      <c r="K27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2" s="11" t="str">
        <f>IF(data_entry[[#This Row],[تاريخ الشكوي
mm/dd/yyyy]]="","",TEXT(data_entry[[#This Row],[تاريخ الشكوي
mm/dd/yyyy]],"mmm-yyyy"))</f>
        <v/>
      </c>
      <c r="M272" s="5" t="str">
        <f>IF(data_entry[[#This Row],[تاريخ الحل
mm/dd/yyyy]]="","",TEXT(data_entry[[#This Row],[تاريخ الحل
mm/dd/yyyy]],"mmm-yyyy"))</f>
        <v/>
      </c>
      <c r="N272" s="21" t="str">
        <f>IF(data_entry[[#This Row],[تاريخ التغذية الراجعة
mm/dd/yyyy]]="","",TEXT(data_entry[[#This Row],[تاريخ التغذية الراجعة
mm/dd/yyyy]],"mmm-yy"))</f>
        <v/>
      </c>
    </row>
    <row r="273" spans="1:14" ht="20" customHeight="1" x14ac:dyDescent="0.35">
      <c r="A273" s="3">
        <v>271</v>
      </c>
      <c r="E273" s="3" t="str">
        <f>IF(data_entry[[#This Row],[تاريخ الشكوي
mm/dd/yyyy]]="","",IF(data_entry[[#This Row],[تاريخ الحل
mm/dd/yyyy]]="","جاري الحل","تم الحل"))</f>
        <v/>
      </c>
      <c r="I273" s="3" t="str">
        <f t="shared" si="4"/>
        <v/>
      </c>
      <c r="J273" s="3" t="str">
        <f>IF(data_entry[[#This Row],[زمن الحل(يوم)]]="", "", IF(data_entry[[#This Row],[زمن الحل(يوم)]]&lt;=3, IF(data_entry[[#This Row],[زمن الحل(يوم)]]&gt;0, "نعم", "لا"), "لا"))</f>
        <v/>
      </c>
      <c r="K27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3" s="11" t="str">
        <f>IF(data_entry[[#This Row],[تاريخ الشكوي
mm/dd/yyyy]]="","",TEXT(data_entry[[#This Row],[تاريخ الشكوي
mm/dd/yyyy]],"mmm-yyyy"))</f>
        <v/>
      </c>
      <c r="M273" s="5" t="str">
        <f>IF(data_entry[[#This Row],[تاريخ الحل
mm/dd/yyyy]]="","",TEXT(data_entry[[#This Row],[تاريخ الحل
mm/dd/yyyy]],"mmm-yyyy"))</f>
        <v/>
      </c>
      <c r="N273" s="21" t="str">
        <f>IF(data_entry[[#This Row],[تاريخ التغذية الراجعة
mm/dd/yyyy]]="","",TEXT(data_entry[[#This Row],[تاريخ التغذية الراجعة
mm/dd/yyyy]],"mmm-yy"))</f>
        <v/>
      </c>
    </row>
    <row r="274" spans="1:14" ht="20" customHeight="1" x14ac:dyDescent="0.35">
      <c r="A274" s="3">
        <v>272</v>
      </c>
      <c r="E274" s="3" t="str">
        <f>IF(data_entry[[#This Row],[تاريخ الشكوي
mm/dd/yyyy]]="","",IF(data_entry[[#This Row],[تاريخ الحل
mm/dd/yyyy]]="","جاري الحل","تم الحل"))</f>
        <v/>
      </c>
      <c r="I274" s="3" t="str">
        <f t="shared" si="4"/>
        <v/>
      </c>
      <c r="J274" s="3" t="str">
        <f>IF(data_entry[[#This Row],[زمن الحل(يوم)]]="", "", IF(data_entry[[#This Row],[زمن الحل(يوم)]]&lt;=3, IF(data_entry[[#This Row],[زمن الحل(يوم)]]&gt;0, "نعم", "لا"), "لا"))</f>
        <v/>
      </c>
      <c r="K27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4" s="11" t="str">
        <f>IF(data_entry[[#This Row],[تاريخ الشكوي
mm/dd/yyyy]]="","",TEXT(data_entry[[#This Row],[تاريخ الشكوي
mm/dd/yyyy]],"mmm-yyyy"))</f>
        <v/>
      </c>
      <c r="M274" s="5" t="str">
        <f>IF(data_entry[[#This Row],[تاريخ الحل
mm/dd/yyyy]]="","",TEXT(data_entry[[#This Row],[تاريخ الحل
mm/dd/yyyy]],"mmm-yyyy"))</f>
        <v/>
      </c>
      <c r="N274" s="21" t="str">
        <f>IF(data_entry[[#This Row],[تاريخ التغذية الراجعة
mm/dd/yyyy]]="","",TEXT(data_entry[[#This Row],[تاريخ التغذية الراجعة
mm/dd/yyyy]],"mmm-yy"))</f>
        <v/>
      </c>
    </row>
    <row r="275" spans="1:14" ht="20" customHeight="1" x14ac:dyDescent="0.35">
      <c r="A275" s="3">
        <v>273</v>
      </c>
      <c r="E275" s="3" t="str">
        <f>IF(data_entry[[#This Row],[تاريخ الشكوي
mm/dd/yyyy]]="","",IF(data_entry[[#This Row],[تاريخ الحل
mm/dd/yyyy]]="","جاري الحل","تم الحل"))</f>
        <v/>
      </c>
      <c r="I275" s="3" t="str">
        <f t="shared" si="4"/>
        <v/>
      </c>
      <c r="J275" s="3" t="str">
        <f>IF(data_entry[[#This Row],[زمن الحل(يوم)]]="", "", IF(data_entry[[#This Row],[زمن الحل(يوم)]]&lt;=3, IF(data_entry[[#This Row],[زمن الحل(يوم)]]&gt;0, "نعم", "لا"), "لا"))</f>
        <v/>
      </c>
      <c r="K27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5" s="11" t="str">
        <f>IF(data_entry[[#This Row],[تاريخ الشكوي
mm/dd/yyyy]]="","",TEXT(data_entry[[#This Row],[تاريخ الشكوي
mm/dd/yyyy]],"mmm-yyyy"))</f>
        <v/>
      </c>
      <c r="M275" s="5" t="str">
        <f>IF(data_entry[[#This Row],[تاريخ الحل
mm/dd/yyyy]]="","",TEXT(data_entry[[#This Row],[تاريخ الحل
mm/dd/yyyy]],"mmm-yyyy"))</f>
        <v/>
      </c>
      <c r="N275" s="21" t="str">
        <f>IF(data_entry[[#This Row],[تاريخ التغذية الراجعة
mm/dd/yyyy]]="","",TEXT(data_entry[[#This Row],[تاريخ التغذية الراجعة
mm/dd/yyyy]],"mmm-yy"))</f>
        <v/>
      </c>
    </row>
    <row r="276" spans="1:14" ht="20" customHeight="1" x14ac:dyDescent="0.35">
      <c r="A276" s="3">
        <v>274</v>
      </c>
      <c r="E276" s="3" t="str">
        <f>IF(data_entry[[#This Row],[تاريخ الشكوي
mm/dd/yyyy]]="","",IF(data_entry[[#This Row],[تاريخ الحل
mm/dd/yyyy]]="","جاري الحل","تم الحل"))</f>
        <v/>
      </c>
      <c r="I276" s="3" t="str">
        <f t="shared" si="4"/>
        <v/>
      </c>
      <c r="J276" s="3" t="str">
        <f>IF(data_entry[[#This Row],[زمن الحل(يوم)]]="", "", IF(data_entry[[#This Row],[زمن الحل(يوم)]]&lt;=3, IF(data_entry[[#This Row],[زمن الحل(يوم)]]&gt;0, "نعم", "لا"), "لا"))</f>
        <v/>
      </c>
      <c r="K27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6" s="11" t="str">
        <f>IF(data_entry[[#This Row],[تاريخ الشكوي
mm/dd/yyyy]]="","",TEXT(data_entry[[#This Row],[تاريخ الشكوي
mm/dd/yyyy]],"mmm-yyyy"))</f>
        <v/>
      </c>
      <c r="M276" s="5" t="str">
        <f>IF(data_entry[[#This Row],[تاريخ الحل
mm/dd/yyyy]]="","",TEXT(data_entry[[#This Row],[تاريخ الحل
mm/dd/yyyy]],"mmm-yyyy"))</f>
        <v/>
      </c>
      <c r="N276" s="21" t="str">
        <f>IF(data_entry[[#This Row],[تاريخ التغذية الراجعة
mm/dd/yyyy]]="","",TEXT(data_entry[[#This Row],[تاريخ التغذية الراجعة
mm/dd/yyyy]],"mmm-yy"))</f>
        <v/>
      </c>
    </row>
    <row r="277" spans="1:14" ht="20" customHeight="1" x14ac:dyDescent="0.35">
      <c r="A277" s="3">
        <v>275</v>
      </c>
      <c r="E277" s="3" t="str">
        <f>IF(data_entry[[#This Row],[تاريخ الشكوي
mm/dd/yyyy]]="","",IF(data_entry[[#This Row],[تاريخ الحل
mm/dd/yyyy]]="","جاري الحل","تم الحل"))</f>
        <v/>
      </c>
      <c r="I277" s="3" t="str">
        <f t="shared" si="4"/>
        <v/>
      </c>
      <c r="J277" s="3" t="str">
        <f>IF(data_entry[[#This Row],[زمن الحل(يوم)]]="", "", IF(data_entry[[#This Row],[زمن الحل(يوم)]]&lt;=3, IF(data_entry[[#This Row],[زمن الحل(يوم)]]&gt;0, "نعم", "لا"), "لا"))</f>
        <v/>
      </c>
      <c r="K27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7" s="11" t="str">
        <f>IF(data_entry[[#This Row],[تاريخ الشكوي
mm/dd/yyyy]]="","",TEXT(data_entry[[#This Row],[تاريخ الشكوي
mm/dd/yyyy]],"mmm-yyyy"))</f>
        <v/>
      </c>
      <c r="M277" s="5" t="str">
        <f>IF(data_entry[[#This Row],[تاريخ الحل
mm/dd/yyyy]]="","",TEXT(data_entry[[#This Row],[تاريخ الحل
mm/dd/yyyy]],"mmm-yyyy"))</f>
        <v/>
      </c>
      <c r="N277" s="21" t="str">
        <f>IF(data_entry[[#This Row],[تاريخ التغذية الراجعة
mm/dd/yyyy]]="","",TEXT(data_entry[[#This Row],[تاريخ التغذية الراجعة
mm/dd/yyyy]],"mmm-yy"))</f>
        <v/>
      </c>
    </row>
    <row r="278" spans="1:14" ht="20" customHeight="1" x14ac:dyDescent="0.35">
      <c r="A278" s="3">
        <v>276</v>
      </c>
      <c r="E278" s="3" t="str">
        <f>IF(data_entry[[#This Row],[تاريخ الشكوي
mm/dd/yyyy]]="","",IF(data_entry[[#This Row],[تاريخ الحل
mm/dd/yyyy]]="","جاري الحل","تم الحل"))</f>
        <v/>
      </c>
      <c r="I278" s="3" t="str">
        <f t="shared" si="4"/>
        <v/>
      </c>
      <c r="J278" s="3" t="str">
        <f>IF(data_entry[[#This Row],[زمن الحل(يوم)]]="", "", IF(data_entry[[#This Row],[زمن الحل(يوم)]]&lt;=3, IF(data_entry[[#This Row],[زمن الحل(يوم)]]&gt;0, "نعم", "لا"), "لا"))</f>
        <v/>
      </c>
      <c r="K27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8" s="11" t="str">
        <f>IF(data_entry[[#This Row],[تاريخ الشكوي
mm/dd/yyyy]]="","",TEXT(data_entry[[#This Row],[تاريخ الشكوي
mm/dd/yyyy]],"mmm-yyyy"))</f>
        <v/>
      </c>
      <c r="M278" s="5" t="str">
        <f>IF(data_entry[[#This Row],[تاريخ الحل
mm/dd/yyyy]]="","",TEXT(data_entry[[#This Row],[تاريخ الحل
mm/dd/yyyy]],"mmm-yyyy"))</f>
        <v/>
      </c>
      <c r="N278" s="21" t="str">
        <f>IF(data_entry[[#This Row],[تاريخ التغذية الراجعة
mm/dd/yyyy]]="","",TEXT(data_entry[[#This Row],[تاريخ التغذية الراجعة
mm/dd/yyyy]],"mmm-yy"))</f>
        <v/>
      </c>
    </row>
    <row r="279" spans="1:14" ht="20" customHeight="1" x14ac:dyDescent="0.35">
      <c r="A279" s="3">
        <v>277</v>
      </c>
      <c r="E279" s="3" t="str">
        <f>IF(data_entry[[#This Row],[تاريخ الشكوي
mm/dd/yyyy]]="","",IF(data_entry[[#This Row],[تاريخ الحل
mm/dd/yyyy]]="","جاري الحل","تم الحل"))</f>
        <v/>
      </c>
      <c r="I279" s="3" t="str">
        <f t="shared" si="4"/>
        <v/>
      </c>
      <c r="J279" s="3" t="str">
        <f>IF(data_entry[[#This Row],[زمن الحل(يوم)]]="", "", IF(data_entry[[#This Row],[زمن الحل(يوم)]]&lt;=3, IF(data_entry[[#This Row],[زمن الحل(يوم)]]&gt;0, "نعم", "لا"), "لا"))</f>
        <v/>
      </c>
      <c r="K27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79" s="11" t="str">
        <f>IF(data_entry[[#This Row],[تاريخ الشكوي
mm/dd/yyyy]]="","",TEXT(data_entry[[#This Row],[تاريخ الشكوي
mm/dd/yyyy]],"mmm-yyyy"))</f>
        <v/>
      </c>
      <c r="M279" s="5" t="str">
        <f>IF(data_entry[[#This Row],[تاريخ الحل
mm/dd/yyyy]]="","",TEXT(data_entry[[#This Row],[تاريخ الحل
mm/dd/yyyy]],"mmm-yyyy"))</f>
        <v/>
      </c>
      <c r="N279" s="21" t="str">
        <f>IF(data_entry[[#This Row],[تاريخ التغذية الراجعة
mm/dd/yyyy]]="","",TEXT(data_entry[[#This Row],[تاريخ التغذية الراجعة
mm/dd/yyyy]],"mmm-yy"))</f>
        <v/>
      </c>
    </row>
    <row r="280" spans="1:14" ht="20" customHeight="1" x14ac:dyDescent="0.35">
      <c r="A280" s="3">
        <v>278</v>
      </c>
      <c r="E280" s="3" t="str">
        <f>IF(data_entry[[#This Row],[تاريخ الشكوي
mm/dd/yyyy]]="","",IF(data_entry[[#This Row],[تاريخ الحل
mm/dd/yyyy]]="","جاري الحل","تم الحل"))</f>
        <v/>
      </c>
      <c r="I280" s="3" t="str">
        <f t="shared" si="4"/>
        <v/>
      </c>
      <c r="J280" s="3" t="str">
        <f>IF(data_entry[[#This Row],[زمن الحل(يوم)]]="", "", IF(data_entry[[#This Row],[زمن الحل(يوم)]]&lt;=3, IF(data_entry[[#This Row],[زمن الحل(يوم)]]&gt;0, "نعم", "لا"), "لا"))</f>
        <v/>
      </c>
      <c r="K28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0" s="11" t="str">
        <f>IF(data_entry[[#This Row],[تاريخ الشكوي
mm/dd/yyyy]]="","",TEXT(data_entry[[#This Row],[تاريخ الشكوي
mm/dd/yyyy]],"mmm-yyyy"))</f>
        <v/>
      </c>
      <c r="M280" s="5" t="str">
        <f>IF(data_entry[[#This Row],[تاريخ الحل
mm/dd/yyyy]]="","",TEXT(data_entry[[#This Row],[تاريخ الحل
mm/dd/yyyy]],"mmm-yyyy"))</f>
        <v/>
      </c>
      <c r="N280" s="21" t="str">
        <f>IF(data_entry[[#This Row],[تاريخ التغذية الراجعة
mm/dd/yyyy]]="","",TEXT(data_entry[[#This Row],[تاريخ التغذية الراجعة
mm/dd/yyyy]],"mmm-yy"))</f>
        <v/>
      </c>
    </row>
    <row r="281" spans="1:14" ht="20" customHeight="1" x14ac:dyDescent="0.35">
      <c r="A281" s="3">
        <v>279</v>
      </c>
      <c r="E281" s="3" t="str">
        <f>IF(data_entry[[#This Row],[تاريخ الشكوي
mm/dd/yyyy]]="","",IF(data_entry[[#This Row],[تاريخ الحل
mm/dd/yyyy]]="","جاري الحل","تم الحل"))</f>
        <v/>
      </c>
      <c r="I281" s="3" t="str">
        <f t="shared" si="4"/>
        <v/>
      </c>
      <c r="J281" s="3" t="str">
        <f>IF(data_entry[[#This Row],[زمن الحل(يوم)]]="", "", IF(data_entry[[#This Row],[زمن الحل(يوم)]]&lt;=3, IF(data_entry[[#This Row],[زمن الحل(يوم)]]&gt;0, "نعم", "لا"), "لا"))</f>
        <v/>
      </c>
      <c r="K28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1" s="11" t="str">
        <f>IF(data_entry[[#This Row],[تاريخ الشكوي
mm/dd/yyyy]]="","",TEXT(data_entry[[#This Row],[تاريخ الشكوي
mm/dd/yyyy]],"mmm-yyyy"))</f>
        <v/>
      </c>
      <c r="M281" s="5" t="str">
        <f>IF(data_entry[[#This Row],[تاريخ الحل
mm/dd/yyyy]]="","",TEXT(data_entry[[#This Row],[تاريخ الحل
mm/dd/yyyy]],"mmm-yyyy"))</f>
        <v/>
      </c>
      <c r="N281" s="21" t="str">
        <f>IF(data_entry[[#This Row],[تاريخ التغذية الراجعة
mm/dd/yyyy]]="","",TEXT(data_entry[[#This Row],[تاريخ التغذية الراجعة
mm/dd/yyyy]],"mmm-yy"))</f>
        <v/>
      </c>
    </row>
    <row r="282" spans="1:14" ht="20" customHeight="1" x14ac:dyDescent="0.35">
      <c r="A282" s="3">
        <v>280</v>
      </c>
      <c r="E282" s="3" t="str">
        <f>IF(data_entry[[#This Row],[تاريخ الشكوي
mm/dd/yyyy]]="","",IF(data_entry[[#This Row],[تاريخ الحل
mm/dd/yyyy]]="","جاري الحل","تم الحل"))</f>
        <v/>
      </c>
      <c r="I282" s="3" t="str">
        <f t="shared" si="4"/>
        <v/>
      </c>
      <c r="J282" s="3" t="str">
        <f>IF(data_entry[[#This Row],[زمن الحل(يوم)]]="", "", IF(data_entry[[#This Row],[زمن الحل(يوم)]]&lt;=3, IF(data_entry[[#This Row],[زمن الحل(يوم)]]&gt;0, "نعم", "لا"), "لا"))</f>
        <v/>
      </c>
      <c r="K28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2" s="11" t="str">
        <f>IF(data_entry[[#This Row],[تاريخ الشكوي
mm/dd/yyyy]]="","",TEXT(data_entry[[#This Row],[تاريخ الشكوي
mm/dd/yyyy]],"mmm-yyyy"))</f>
        <v/>
      </c>
      <c r="M282" s="5" t="str">
        <f>IF(data_entry[[#This Row],[تاريخ الحل
mm/dd/yyyy]]="","",TEXT(data_entry[[#This Row],[تاريخ الحل
mm/dd/yyyy]],"mmm-yyyy"))</f>
        <v/>
      </c>
      <c r="N282" s="21" t="str">
        <f>IF(data_entry[[#This Row],[تاريخ التغذية الراجعة
mm/dd/yyyy]]="","",TEXT(data_entry[[#This Row],[تاريخ التغذية الراجعة
mm/dd/yyyy]],"mmm-yy"))</f>
        <v/>
      </c>
    </row>
    <row r="283" spans="1:14" ht="20" customHeight="1" x14ac:dyDescent="0.35">
      <c r="A283" s="3">
        <v>281</v>
      </c>
      <c r="E283" s="3" t="str">
        <f>IF(data_entry[[#This Row],[تاريخ الشكوي
mm/dd/yyyy]]="","",IF(data_entry[[#This Row],[تاريخ الحل
mm/dd/yyyy]]="","جاري الحل","تم الحل"))</f>
        <v/>
      </c>
      <c r="I283" s="3" t="str">
        <f t="shared" si="4"/>
        <v/>
      </c>
      <c r="J283" s="3" t="str">
        <f>IF(data_entry[[#This Row],[زمن الحل(يوم)]]="", "", IF(data_entry[[#This Row],[زمن الحل(يوم)]]&lt;=3, IF(data_entry[[#This Row],[زمن الحل(يوم)]]&gt;0, "نعم", "لا"), "لا"))</f>
        <v/>
      </c>
      <c r="K28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3" s="11" t="str">
        <f>IF(data_entry[[#This Row],[تاريخ الشكوي
mm/dd/yyyy]]="","",TEXT(data_entry[[#This Row],[تاريخ الشكوي
mm/dd/yyyy]],"mmm-yyyy"))</f>
        <v/>
      </c>
      <c r="M283" s="5" t="str">
        <f>IF(data_entry[[#This Row],[تاريخ الحل
mm/dd/yyyy]]="","",TEXT(data_entry[[#This Row],[تاريخ الحل
mm/dd/yyyy]],"mmm-yyyy"))</f>
        <v/>
      </c>
      <c r="N283" s="21" t="str">
        <f>IF(data_entry[[#This Row],[تاريخ التغذية الراجعة
mm/dd/yyyy]]="","",TEXT(data_entry[[#This Row],[تاريخ التغذية الراجعة
mm/dd/yyyy]],"mmm-yy"))</f>
        <v/>
      </c>
    </row>
    <row r="284" spans="1:14" ht="20" customHeight="1" x14ac:dyDescent="0.35">
      <c r="A284" s="3">
        <v>282</v>
      </c>
      <c r="E284" s="3" t="str">
        <f>IF(data_entry[[#This Row],[تاريخ الشكوي
mm/dd/yyyy]]="","",IF(data_entry[[#This Row],[تاريخ الحل
mm/dd/yyyy]]="","جاري الحل","تم الحل"))</f>
        <v/>
      </c>
      <c r="I284" s="3" t="str">
        <f t="shared" si="4"/>
        <v/>
      </c>
      <c r="J284" s="3" t="str">
        <f>IF(data_entry[[#This Row],[زمن الحل(يوم)]]="", "", IF(data_entry[[#This Row],[زمن الحل(يوم)]]&lt;=3, IF(data_entry[[#This Row],[زمن الحل(يوم)]]&gt;0, "نعم", "لا"), "لا"))</f>
        <v/>
      </c>
      <c r="K28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4" s="11" t="str">
        <f>IF(data_entry[[#This Row],[تاريخ الشكوي
mm/dd/yyyy]]="","",TEXT(data_entry[[#This Row],[تاريخ الشكوي
mm/dd/yyyy]],"mmm-yyyy"))</f>
        <v/>
      </c>
      <c r="M284" s="5" t="str">
        <f>IF(data_entry[[#This Row],[تاريخ الحل
mm/dd/yyyy]]="","",TEXT(data_entry[[#This Row],[تاريخ الحل
mm/dd/yyyy]],"mmm-yyyy"))</f>
        <v/>
      </c>
      <c r="N284" s="21" t="str">
        <f>IF(data_entry[[#This Row],[تاريخ التغذية الراجعة
mm/dd/yyyy]]="","",TEXT(data_entry[[#This Row],[تاريخ التغذية الراجعة
mm/dd/yyyy]],"mmm-yy"))</f>
        <v/>
      </c>
    </row>
    <row r="285" spans="1:14" ht="20" customHeight="1" x14ac:dyDescent="0.35">
      <c r="A285" s="3">
        <v>283</v>
      </c>
      <c r="E285" s="3" t="str">
        <f>IF(data_entry[[#This Row],[تاريخ الشكوي
mm/dd/yyyy]]="","",IF(data_entry[[#This Row],[تاريخ الحل
mm/dd/yyyy]]="","جاري الحل","تم الحل"))</f>
        <v/>
      </c>
      <c r="I285" s="3" t="str">
        <f t="shared" si="4"/>
        <v/>
      </c>
      <c r="J285" s="3" t="str">
        <f>IF(data_entry[[#This Row],[زمن الحل(يوم)]]="", "", IF(data_entry[[#This Row],[زمن الحل(يوم)]]&lt;=3, IF(data_entry[[#This Row],[زمن الحل(يوم)]]&gt;0, "نعم", "لا"), "لا"))</f>
        <v/>
      </c>
      <c r="K28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5" s="11" t="str">
        <f>IF(data_entry[[#This Row],[تاريخ الشكوي
mm/dd/yyyy]]="","",TEXT(data_entry[[#This Row],[تاريخ الشكوي
mm/dd/yyyy]],"mmm-yyyy"))</f>
        <v/>
      </c>
      <c r="M285" s="5" t="str">
        <f>IF(data_entry[[#This Row],[تاريخ الحل
mm/dd/yyyy]]="","",TEXT(data_entry[[#This Row],[تاريخ الحل
mm/dd/yyyy]],"mmm-yyyy"))</f>
        <v/>
      </c>
      <c r="N285" s="21" t="str">
        <f>IF(data_entry[[#This Row],[تاريخ التغذية الراجعة
mm/dd/yyyy]]="","",TEXT(data_entry[[#This Row],[تاريخ التغذية الراجعة
mm/dd/yyyy]],"mmm-yy"))</f>
        <v/>
      </c>
    </row>
    <row r="286" spans="1:14" ht="20" customHeight="1" x14ac:dyDescent="0.35">
      <c r="A286" s="3">
        <v>284</v>
      </c>
      <c r="E286" s="3" t="str">
        <f>IF(data_entry[[#This Row],[تاريخ الشكوي
mm/dd/yyyy]]="","",IF(data_entry[[#This Row],[تاريخ الحل
mm/dd/yyyy]]="","جاري الحل","تم الحل"))</f>
        <v/>
      </c>
      <c r="I286" s="3" t="str">
        <f t="shared" si="4"/>
        <v/>
      </c>
      <c r="J286" s="3" t="str">
        <f>IF(data_entry[[#This Row],[زمن الحل(يوم)]]="", "", IF(data_entry[[#This Row],[زمن الحل(يوم)]]&lt;=3, IF(data_entry[[#This Row],[زمن الحل(يوم)]]&gt;0, "نعم", "لا"), "لا"))</f>
        <v/>
      </c>
      <c r="K28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6" s="11" t="str">
        <f>IF(data_entry[[#This Row],[تاريخ الشكوي
mm/dd/yyyy]]="","",TEXT(data_entry[[#This Row],[تاريخ الشكوي
mm/dd/yyyy]],"mmm-yyyy"))</f>
        <v/>
      </c>
      <c r="M286" s="5" t="str">
        <f>IF(data_entry[[#This Row],[تاريخ الحل
mm/dd/yyyy]]="","",TEXT(data_entry[[#This Row],[تاريخ الحل
mm/dd/yyyy]],"mmm-yyyy"))</f>
        <v/>
      </c>
      <c r="N286" s="21" t="str">
        <f>IF(data_entry[[#This Row],[تاريخ التغذية الراجعة
mm/dd/yyyy]]="","",TEXT(data_entry[[#This Row],[تاريخ التغذية الراجعة
mm/dd/yyyy]],"mmm-yy"))</f>
        <v/>
      </c>
    </row>
    <row r="287" spans="1:14" ht="20" customHeight="1" x14ac:dyDescent="0.35">
      <c r="A287" s="3">
        <v>285</v>
      </c>
      <c r="E287" s="3" t="str">
        <f>IF(data_entry[[#This Row],[تاريخ الشكوي
mm/dd/yyyy]]="","",IF(data_entry[[#This Row],[تاريخ الحل
mm/dd/yyyy]]="","جاري الحل","تم الحل"))</f>
        <v/>
      </c>
      <c r="I287" s="3" t="str">
        <f t="shared" si="4"/>
        <v/>
      </c>
      <c r="J287" s="3" t="str">
        <f>IF(data_entry[[#This Row],[زمن الحل(يوم)]]="", "", IF(data_entry[[#This Row],[زمن الحل(يوم)]]&lt;=3, IF(data_entry[[#This Row],[زمن الحل(يوم)]]&gt;0, "نعم", "لا"), "لا"))</f>
        <v/>
      </c>
      <c r="K28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7" s="11" t="str">
        <f>IF(data_entry[[#This Row],[تاريخ الشكوي
mm/dd/yyyy]]="","",TEXT(data_entry[[#This Row],[تاريخ الشكوي
mm/dd/yyyy]],"mmm-yyyy"))</f>
        <v/>
      </c>
      <c r="M287" s="5" t="str">
        <f>IF(data_entry[[#This Row],[تاريخ الحل
mm/dd/yyyy]]="","",TEXT(data_entry[[#This Row],[تاريخ الحل
mm/dd/yyyy]],"mmm-yyyy"))</f>
        <v/>
      </c>
      <c r="N287" s="21" t="str">
        <f>IF(data_entry[[#This Row],[تاريخ التغذية الراجعة
mm/dd/yyyy]]="","",TEXT(data_entry[[#This Row],[تاريخ التغذية الراجعة
mm/dd/yyyy]],"mmm-yy"))</f>
        <v/>
      </c>
    </row>
    <row r="288" spans="1:14" ht="20" customHeight="1" x14ac:dyDescent="0.35">
      <c r="A288" s="3">
        <v>286</v>
      </c>
      <c r="E288" s="3" t="str">
        <f>IF(data_entry[[#This Row],[تاريخ الشكوي
mm/dd/yyyy]]="","",IF(data_entry[[#This Row],[تاريخ الحل
mm/dd/yyyy]]="","جاري الحل","تم الحل"))</f>
        <v/>
      </c>
      <c r="I288" s="3" t="str">
        <f t="shared" si="4"/>
        <v/>
      </c>
      <c r="J288" s="3" t="str">
        <f>IF(data_entry[[#This Row],[زمن الحل(يوم)]]="", "", IF(data_entry[[#This Row],[زمن الحل(يوم)]]&lt;=3, IF(data_entry[[#This Row],[زمن الحل(يوم)]]&gt;0, "نعم", "لا"), "لا"))</f>
        <v/>
      </c>
      <c r="K28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8" s="11" t="str">
        <f>IF(data_entry[[#This Row],[تاريخ الشكوي
mm/dd/yyyy]]="","",TEXT(data_entry[[#This Row],[تاريخ الشكوي
mm/dd/yyyy]],"mmm-yyyy"))</f>
        <v/>
      </c>
      <c r="M288" s="5" t="str">
        <f>IF(data_entry[[#This Row],[تاريخ الحل
mm/dd/yyyy]]="","",TEXT(data_entry[[#This Row],[تاريخ الحل
mm/dd/yyyy]],"mmm-yyyy"))</f>
        <v/>
      </c>
      <c r="N288" s="21" t="str">
        <f>IF(data_entry[[#This Row],[تاريخ التغذية الراجعة
mm/dd/yyyy]]="","",TEXT(data_entry[[#This Row],[تاريخ التغذية الراجعة
mm/dd/yyyy]],"mmm-yy"))</f>
        <v/>
      </c>
    </row>
    <row r="289" spans="1:14" ht="20" customHeight="1" x14ac:dyDescent="0.35">
      <c r="A289" s="3">
        <v>287</v>
      </c>
      <c r="E289" s="3" t="str">
        <f>IF(data_entry[[#This Row],[تاريخ الشكوي
mm/dd/yyyy]]="","",IF(data_entry[[#This Row],[تاريخ الحل
mm/dd/yyyy]]="","جاري الحل","تم الحل"))</f>
        <v/>
      </c>
      <c r="I289" s="3" t="str">
        <f t="shared" si="4"/>
        <v/>
      </c>
      <c r="J289" s="3" t="str">
        <f>IF(data_entry[[#This Row],[زمن الحل(يوم)]]="", "", IF(data_entry[[#This Row],[زمن الحل(يوم)]]&lt;=3, IF(data_entry[[#This Row],[زمن الحل(يوم)]]&gt;0, "نعم", "لا"), "لا"))</f>
        <v/>
      </c>
      <c r="K28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89" s="11" t="str">
        <f>IF(data_entry[[#This Row],[تاريخ الشكوي
mm/dd/yyyy]]="","",TEXT(data_entry[[#This Row],[تاريخ الشكوي
mm/dd/yyyy]],"mmm-yyyy"))</f>
        <v/>
      </c>
      <c r="M289" s="5" t="str">
        <f>IF(data_entry[[#This Row],[تاريخ الحل
mm/dd/yyyy]]="","",TEXT(data_entry[[#This Row],[تاريخ الحل
mm/dd/yyyy]],"mmm-yyyy"))</f>
        <v/>
      </c>
      <c r="N289" s="21" t="str">
        <f>IF(data_entry[[#This Row],[تاريخ التغذية الراجعة
mm/dd/yyyy]]="","",TEXT(data_entry[[#This Row],[تاريخ التغذية الراجعة
mm/dd/yyyy]],"mmm-yy"))</f>
        <v/>
      </c>
    </row>
    <row r="290" spans="1:14" ht="20" customHeight="1" x14ac:dyDescent="0.35">
      <c r="A290" s="3">
        <v>288</v>
      </c>
      <c r="E290" s="3" t="str">
        <f>IF(data_entry[[#This Row],[تاريخ الشكوي
mm/dd/yyyy]]="","",IF(data_entry[[#This Row],[تاريخ الحل
mm/dd/yyyy]]="","جاري الحل","تم الحل"))</f>
        <v/>
      </c>
      <c r="I290" s="3" t="str">
        <f t="shared" si="4"/>
        <v/>
      </c>
      <c r="J290" s="3" t="str">
        <f>IF(data_entry[[#This Row],[زمن الحل(يوم)]]="", "", IF(data_entry[[#This Row],[زمن الحل(يوم)]]&lt;=3, IF(data_entry[[#This Row],[زمن الحل(يوم)]]&gt;0, "نعم", "لا"), "لا"))</f>
        <v/>
      </c>
      <c r="K29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0" s="11" t="str">
        <f>IF(data_entry[[#This Row],[تاريخ الشكوي
mm/dd/yyyy]]="","",TEXT(data_entry[[#This Row],[تاريخ الشكوي
mm/dd/yyyy]],"mmm-yyyy"))</f>
        <v/>
      </c>
      <c r="M290" s="5" t="str">
        <f>IF(data_entry[[#This Row],[تاريخ الحل
mm/dd/yyyy]]="","",TEXT(data_entry[[#This Row],[تاريخ الحل
mm/dd/yyyy]],"mmm-yyyy"))</f>
        <v/>
      </c>
      <c r="N290" s="21" t="str">
        <f>IF(data_entry[[#This Row],[تاريخ التغذية الراجعة
mm/dd/yyyy]]="","",TEXT(data_entry[[#This Row],[تاريخ التغذية الراجعة
mm/dd/yyyy]],"mmm-yy"))</f>
        <v/>
      </c>
    </row>
    <row r="291" spans="1:14" ht="20" customHeight="1" x14ac:dyDescent="0.35">
      <c r="A291" s="3">
        <v>289</v>
      </c>
      <c r="E291" s="3" t="str">
        <f>IF(data_entry[[#This Row],[تاريخ الشكوي
mm/dd/yyyy]]="","",IF(data_entry[[#This Row],[تاريخ الحل
mm/dd/yyyy]]="","جاري الحل","تم الحل"))</f>
        <v/>
      </c>
      <c r="I291" s="3" t="str">
        <f t="shared" si="4"/>
        <v/>
      </c>
      <c r="J291" s="3" t="str">
        <f>IF(data_entry[[#This Row],[زمن الحل(يوم)]]="", "", IF(data_entry[[#This Row],[زمن الحل(يوم)]]&lt;=3, IF(data_entry[[#This Row],[زمن الحل(يوم)]]&gt;0, "نعم", "لا"), "لا"))</f>
        <v/>
      </c>
      <c r="K29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1" s="11" t="str">
        <f>IF(data_entry[[#This Row],[تاريخ الشكوي
mm/dd/yyyy]]="","",TEXT(data_entry[[#This Row],[تاريخ الشكوي
mm/dd/yyyy]],"mmm-yyyy"))</f>
        <v/>
      </c>
      <c r="M291" s="5" t="str">
        <f>IF(data_entry[[#This Row],[تاريخ الحل
mm/dd/yyyy]]="","",TEXT(data_entry[[#This Row],[تاريخ الحل
mm/dd/yyyy]],"mmm-yyyy"))</f>
        <v/>
      </c>
      <c r="N291" s="21" t="str">
        <f>IF(data_entry[[#This Row],[تاريخ التغذية الراجعة
mm/dd/yyyy]]="","",TEXT(data_entry[[#This Row],[تاريخ التغذية الراجعة
mm/dd/yyyy]],"mmm-yy"))</f>
        <v/>
      </c>
    </row>
    <row r="292" spans="1:14" ht="20" customHeight="1" x14ac:dyDescent="0.35">
      <c r="A292" s="3">
        <v>290</v>
      </c>
      <c r="E292" s="3" t="str">
        <f>IF(data_entry[[#This Row],[تاريخ الشكوي
mm/dd/yyyy]]="","",IF(data_entry[[#This Row],[تاريخ الحل
mm/dd/yyyy]]="","جاري الحل","تم الحل"))</f>
        <v/>
      </c>
      <c r="I292" s="3" t="str">
        <f t="shared" si="4"/>
        <v/>
      </c>
      <c r="J292" s="3" t="str">
        <f>IF(data_entry[[#This Row],[زمن الحل(يوم)]]="", "", IF(data_entry[[#This Row],[زمن الحل(يوم)]]&lt;=3, IF(data_entry[[#This Row],[زمن الحل(يوم)]]&gt;0, "نعم", "لا"), "لا"))</f>
        <v/>
      </c>
      <c r="K29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2" s="11" t="str">
        <f>IF(data_entry[[#This Row],[تاريخ الشكوي
mm/dd/yyyy]]="","",TEXT(data_entry[[#This Row],[تاريخ الشكوي
mm/dd/yyyy]],"mmm-yyyy"))</f>
        <v/>
      </c>
      <c r="M292" s="5" t="str">
        <f>IF(data_entry[[#This Row],[تاريخ الحل
mm/dd/yyyy]]="","",TEXT(data_entry[[#This Row],[تاريخ الحل
mm/dd/yyyy]],"mmm-yyyy"))</f>
        <v/>
      </c>
      <c r="N292" s="21" t="str">
        <f>IF(data_entry[[#This Row],[تاريخ التغذية الراجعة
mm/dd/yyyy]]="","",TEXT(data_entry[[#This Row],[تاريخ التغذية الراجعة
mm/dd/yyyy]],"mmm-yy"))</f>
        <v/>
      </c>
    </row>
    <row r="293" spans="1:14" ht="20" customHeight="1" x14ac:dyDescent="0.35">
      <c r="A293" s="3">
        <v>291</v>
      </c>
      <c r="E293" s="3" t="str">
        <f>IF(data_entry[[#This Row],[تاريخ الشكوي
mm/dd/yyyy]]="","",IF(data_entry[[#This Row],[تاريخ الحل
mm/dd/yyyy]]="","جاري الحل","تم الحل"))</f>
        <v/>
      </c>
      <c r="I293" s="3" t="str">
        <f t="shared" si="4"/>
        <v/>
      </c>
      <c r="J293" s="3" t="str">
        <f>IF(data_entry[[#This Row],[زمن الحل(يوم)]]="", "", IF(data_entry[[#This Row],[زمن الحل(يوم)]]&lt;=3, IF(data_entry[[#This Row],[زمن الحل(يوم)]]&gt;0, "نعم", "لا"), "لا"))</f>
        <v/>
      </c>
      <c r="K29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3" s="11" t="str">
        <f>IF(data_entry[[#This Row],[تاريخ الشكوي
mm/dd/yyyy]]="","",TEXT(data_entry[[#This Row],[تاريخ الشكوي
mm/dd/yyyy]],"mmm-yyyy"))</f>
        <v/>
      </c>
      <c r="M293" s="5" t="str">
        <f>IF(data_entry[[#This Row],[تاريخ الحل
mm/dd/yyyy]]="","",TEXT(data_entry[[#This Row],[تاريخ الحل
mm/dd/yyyy]],"mmm-yyyy"))</f>
        <v/>
      </c>
      <c r="N293" s="21" t="str">
        <f>IF(data_entry[[#This Row],[تاريخ التغذية الراجعة
mm/dd/yyyy]]="","",TEXT(data_entry[[#This Row],[تاريخ التغذية الراجعة
mm/dd/yyyy]],"mmm-yy"))</f>
        <v/>
      </c>
    </row>
    <row r="294" spans="1:14" ht="20" customHeight="1" x14ac:dyDescent="0.35">
      <c r="A294" s="3">
        <v>292</v>
      </c>
      <c r="E294" s="3" t="str">
        <f>IF(data_entry[[#This Row],[تاريخ الشكوي
mm/dd/yyyy]]="","",IF(data_entry[[#This Row],[تاريخ الحل
mm/dd/yyyy]]="","جاري الحل","تم الحل"))</f>
        <v/>
      </c>
      <c r="I294" s="3" t="str">
        <f t="shared" si="4"/>
        <v/>
      </c>
      <c r="J294" s="3" t="str">
        <f>IF(data_entry[[#This Row],[زمن الحل(يوم)]]="", "", IF(data_entry[[#This Row],[زمن الحل(يوم)]]&lt;=3, IF(data_entry[[#This Row],[زمن الحل(يوم)]]&gt;0, "نعم", "لا"), "لا"))</f>
        <v/>
      </c>
      <c r="K29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4" s="11" t="str">
        <f>IF(data_entry[[#This Row],[تاريخ الشكوي
mm/dd/yyyy]]="","",TEXT(data_entry[[#This Row],[تاريخ الشكوي
mm/dd/yyyy]],"mmm-yyyy"))</f>
        <v/>
      </c>
      <c r="M294" s="5" t="str">
        <f>IF(data_entry[[#This Row],[تاريخ الحل
mm/dd/yyyy]]="","",TEXT(data_entry[[#This Row],[تاريخ الحل
mm/dd/yyyy]],"mmm-yyyy"))</f>
        <v/>
      </c>
      <c r="N294" s="21" t="str">
        <f>IF(data_entry[[#This Row],[تاريخ التغذية الراجعة
mm/dd/yyyy]]="","",TEXT(data_entry[[#This Row],[تاريخ التغذية الراجعة
mm/dd/yyyy]],"mmm-yy"))</f>
        <v/>
      </c>
    </row>
    <row r="295" spans="1:14" ht="20" customHeight="1" x14ac:dyDescent="0.35">
      <c r="A295" s="3">
        <v>293</v>
      </c>
      <c r="E295" s="3" t="str">
        <f>IF(data_entry[[#This Row],[تاريخ الشكوي
mm/dd/yyyy]]="","",IF(data_entry[[#This Row],[تاريخ الحل
mm/dd/yyyy]]="","جاري الحل","تم الحل"))</f>
        <v/>
      </c>
      <c r="I295" s="3" t="str">
        <f t="shared" si="4"/>
        <v/>
      </c>
      <c r="J295" s="3" t="str">
        <f>IF(data_entry[[#This Row],[زمن الحل(يوم)]]="", "", IF(data_entry[[#This Row],[زمن الحل(يوم)]]&lt;=3, IF(data_entry[[#This Row],[زمن الحل(يوم)]]&gt;0, "نعم", "لا"), "لا"))</f>
        <v/>
      </c>
      <c r="K29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5" s="11" t="str">
        <f>IF(data_entry[[#This Row],[تاريخ الشكوي
mm/dd/yyyy]]="","",TEXT(data_entry[[#This Row],[تاريخ الشكوي
mm/dd/yyyy]],"mmm-yyyy"))</f>
        <v/>
      </c>
      <c r="M295" s="5" t="str">
        <f>IF(data_entry[[#This Row],[تاريخ الحل
mm/dd/yyyy]]="","",TEXT(data_entry[[#This Row],[تاريخ الحل
mm/dd/yyyy]],"mmm-yyyy"))</f>
        <v/>
      </c>
      <c r="N295" s="21" t="str">
        <f>IF(data_entry[[#This Row],[تاريخ التغذية الراجعة
mm/dd/yyyy]]="","",TEXT(data_entry[[#This Row],[تاريخ التغذية الراجعة
mm/dd/yyyy]],"mmm-yy"))</f>
        <v/>
      </c>
    </row>
    <row r="296" spans="1:14" ht="20" customHeight="1" x14ac:dyDescent="0.35">
      <c r="A296" s="3">
        <v>294</v>
      </c>
      <c r="E296" s="3" t="str">
        <f>IF(data_entry[[#This Row],[تاريخ الشكوي
mm/dd/yyyy]]="","",IF(data_entry[[#This Row],[تاريخ الحل
mm/dd/yyyy]]="","جاري الحل","تم الحل"))</f>
        <v/>
      </c>
      <c r="I296" s="3" t="str">
        <f t="shared" si="4"/>
        <v/>
      </c>
      <c r="J296" s="3" t="str">
        <f>IF(data_entry[[#This Row],[زمن الحل(يوم)]]="", "", IF(data_entry[[#This Row],[زمن الحل(يوم)]]&lt;=3, IF(data_entry[[#This Row],[زمن الحل(يوم)]]&gt;0, "نعم", "لا"), "لا"))</f>
        <v/>
      </c>
      <c r="K29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6" s="11" t="str">
        <f>IF(data_entry[[#This Row],[تاريخ الشكوي
mm/dd/yyyy]]="","",TEXT(data_entry[[#This Row],[تاريخ الشكوي
mm/dd/yyyy]],"mmm-yyyy"))</f>
        <v/>
      </c>
      <c r="M296" s="5" t="str">
        <f>IF(data_entry[[#This Row],[تاريخ الحل
mm/dd/yyyy]]="","",TEXT(data_entry[[#This Row],[تاريخ الحل
mm/dd/yyyy]],"mmm-yyyy"))</f>
        <v/>
      </c>
      <c r="N296" s="21" t="str">
        <f>IF(data_entry[[#This Row],[تاريخ التغذية الراجعة
mm/dd/yyyy]]="","",TEXT(data_entry[[#This Row],[تاريخ التغذية الراجعة
mm/dd/yyyy]],"mmm-yy"))</f>
        <v/>
      </c>
    </row>
    <row r="297" spans="1:14" ht="20" customHeight="1" x14ac:dyDescent="0.35">
      <c r="A297" s="3">
        <v>295</v>
      </c>
      <c r="E297" s="3" t="str">
        <f>IF(data_entry[[#This Row],[تاريخ الشكوي
mm/dd/yyyy]]="","",IF(data_entry[[#This Row],[تاريخ الحل
mm/dd/yyyy]]="","جاري الحل","تم الحل"))</f>
        <v/>
      </c>
      <c r="I297" s="3" t="str">
        <f t="shared" si="4"/>
        <v/>
      </c>
      <c r="J297" s="3" t="str">
        <f>IF(data_entry[[#This Row],[زمن الحل(يوم)]]="", "", IF(data_entry[[#This Row],[زمن الحل(يوم)]]&lt;=3, IF(data_entry[[#This Row],[زمن الحل(يوم)]]&gt;0, "نعم", "لا"), "لا"))</f>
        <v/>
      </c>
      <c r="K29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7" s="11" t="str">
        <f>IF(data_entry[[#This Row],[تاريخ الشكوي
mm/dd/yyyy]]="","",TEXT(data_entry[[#This Row],[تاريخ الشكوي
mm/dd/yyyy]],"mmm-yyyy"))</f>
        <v/>
      </c>
      <c r="M297" s="5" t="str">
        <f>IF(data_entry[[#This Row],[تاريخ الحل
mm/dd/yyyy]]="","",TEXT(data_entry[[#This Row],[تاريخ الحل
mm/dd/yyyy]],"mmm-yyyy"))</f>
        <v/>
      </c>
      <c r="N297" s="21" t="str">
        <f>IF(data_entry[[#This Row],[تاريخ التغذية الراجعة
mm/dd/yyyy]]="","",TEXT(data_entry[[#This Row],[تاريخ التغذية الراجعة
mm/dd/yyyy]],"mmm-yy"))</f>
        <v/>
      </c>
    </row>
    <row r="298" spans="1:14" ht="20" customHeight="1" x14ac:dyDescent="0.35">
      <c r="A298" s="3">
        <v>296</v>
      </c>
      <c r="E298" s="3" t="str">
        <f>IF(data_entry[[#This Row],[تاريخ الشكوي
mm/dd/yyyy]]="","",IF(data_entry[[#This Row],[تاريخ الحل
mm/dd/yyyy]]="","جاري الحل","تم الحل"))</f>
        <v/>
      </c>
      <c r="I298" s="3" t="str">
        <f t="shared" si="4"/>
        <v/>
      </c>
      <c r="J298" s="3" t="str">
        <f>IF(data_entry[[#This Row],[زمن الحل(يوم)]]="", "", IF(data_entry[[#This Row],[زمن الحل(يوم)]]&lt;=3, IF(data_entry[[#This Row],[زمن الحل(يوم)]]&gt;0, "نعم", "لا"), "لا"))</f>
        <v/>
      </c>
      <c r="K29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8" s="11" t="str">
        <f>IF(data_entry[[#This Row],[تاريخ الشكوي
mm/dd/yyyy]]="","",TEXT(data_entry[[#This Row],[تاريخ الشكوي
mm/dd/yyyy]],"mmm-yyyy"))</f>
        <v/>
      </c>
      <c r="M298" s="5" t="str">
        <f>IF(data_entry[[#This Row],[تاريخ الحل
mm/dd/yyyy]]="","",TEXT(data_entry[[#This Row],[تاريخ الحل
mm/dd/yyyy]],"mmm-yyyy"))</f>
        <v/>
      </c>
      <c r="N298" s="21" t="str">
        <f>IF(data_entry[[#This Row],[تاريخ التغذية الراجعة
mm/dd/yyyy]]="","",TEXT(data_entry[[#This Row],[تاريخ التغذية الراجعة
mm/dd/yyyy]],"mmm-yy"))</f>
        <v/>
      </c>
    </row>
    <row r="299" spans="1:14" ht="20" customHeight="1" x14ac:dyDescent="0.35">
      <c r="A299" s="3">
        <v>297</v>
      </c>
      <c r="E299" s="3" t="str">
        <f>IF(data_entry[[#This Row],[تاريخ الشكوي
mm/dd/yyyy]]="","",IF(data_entry[[#This Row],[تاريخ الحل
mm/dd/yyyy]]="","جاري الحل","تم الحل"))</f>
        <v/>
      </c>
      <c r="I299" s="3" t="str">
        <f t="shared" si="4"/>
        <v/>
      </c>
      <c r="J299" s="3" t="str">
        <f>IF(data_entry[[#This Row],[زمن الحل(يوم)]]="", "", IF(data_entry[[#This Row],[زمن الحل(يوم)]]&lt;=3, IF(data_entry[[#This Row],[زمن الحل(يوم)]]&gt;0, "نعم", "لا"), "لا"))</f>
        <v/>
      </c>
      <c r="K29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299" s="11" t="str">
        <f>IF(data_entry[[#This Row],[تاريخ الشكوي
mm/dd/yyyy]]="","",TEXT(data_entry[[#This Row],[تاريخ الشكوي
mm/dd/yyyy]],"mmm-yyyy"))</f>
        <v/>
      </c>
      <c r="M299" s="5" t="str">
        <f>IF(data_entry[[#This Row],[تاريخ الحل
mm/dd/yyyy]]="","",TEXT(data_entry[[#This Row],[تاريخ الحل
mm/dd/yyyy]],"mmm-yyyy"))</f>
        <v/>
      </c>
      <c r="N299" s="21" t="str">
        <f>IF(data_entry[[#This Row],[تاريخ التغذية الراجعة
mm/dd/yyyy]]="","",TEXT(data_entry[[#This Row],[تاريخ التغذية الراجعة
mm/dd/yyyy]],"mmm-yy"))</f>
        <v/>
      </c>
    </row>
    <row r="300" spans="1:14" ht="20" customHeight="1" x14ac:dyDescent="0.35">
      <c r="A300" s="3">
        <v>298</v>
      </c>
      <c r="E300" s="3" t="str">
        <f>IF(data_entry[[#This Row],[تاريخ الشكوي
mm/dd/yyyy]]="","",IF(data_entry[[#This Row],[تاريخ الحل
mm/dd/yyyy]]="","جاري الحل","تم الحل"))</f>
        <v/>
      </c>
      <c r="I300" s="3" t="str">
        <f t="shared" si="4"/>
        <v/>
      </c>
      <c r="J300" s="3" t="str">
        <f>IF(data_entry[[#This Row],[زمن الحل(يوم)]]="", "", IF(data_entry[[#This Row],[زمن الحل(يوم)]]&lt;=3, IF(data_entry[[#This Row],[زمن الحل(يوم)]]&gt;0, "نعم", "لا"), "لا"))</f>
        <v/>
      </c>
      <c r="K30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0" s="11" t="str">
        <f>IF(data_entry[[#This Row],[تاريخ الشكوي
mm/dd/yyyy]]="","",TEXT(data_entry[[#This Row],[تاريخ الشكوي
mm/dd/yyyy]],"mmm-yyyy"))</f>
        <v/>
      </c>
      <c r="M300" s="5" t="str">
        <f>IF(data_entry[[#This Row],[تاريخ الحل
mm/dd/yyyy]]="","",TEXT(data_entry[[#This Row],[تاريخ الحل
mm/dd/yyyy]],"mmm-yyyy"))</f>
        <v/>
      </c>
      <c r="N300" s="21" t="str">
        <f>IF(data_entry[[#This Row],[تاريخ التغذية الراجعة
mm/dd/yyyy]]="","",TEXT(data_entry[[#This Row],[تاريخ التغذية الراجعة
mm/dd/yyyy]],"mmm-yy"))</f>
        <v/>
      </c>
    </row>
    <row r="301" spans="1:14" ht="20" customHeight="1" x14ac:dyDescent="0.35">
      <c r="A301" s="3">
        <v>299</v>
      </c>
      <c r="E301" s="3" t="str">
        <f>IF(data_entry[[#This Row],[تاريخ الشكوي
mm/dd/yyyy]]="","",IF(data_entry[[#This Row],[تاريخ الحل
mm/dd/yyyy]]="","جاري الحل","تم الحل"))</f>
        <v/>
      </c>
      <c r="I301" s="3" t="str">
        <f t="shared" si="4"/>
        <v/>
      </c>
      <c r="J301" s="3" t="str">
        <f>IF(data_entry[[#This Row],[زمن الحل(يوم)]]="", "", IF(data_entry[[#This Row],[زمن الحل(يوم)]]&lt;=3, IF(data_entry[[#This Row],[زمن الحل(يوم)]]&gt;0, "نعم", "لا"), "لا"))</f>
        <v/>
      </c>
      <c r="K30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1" s="11" t="str">
        <f>IF(data_entry[[#This Row],[تاريخ الشكوي
mm/dd/yyyy]]="","",TEXT(data_entry[[#This Row],[تاريخ الشكوي
mm/dd/yyyy]],"mmm-yyyy"))</f>
        <v/>
      </c>
      <c r="M301" s="5" t="str">
        <f>IF(data_entry[[#This Row],[تاريخ الحل
mm/dd/yyyy]]="","",TEXT(data_entry[[#This Row],[تاريخ الحل
mm/dd/yyyy]],"mmm-yyyy"))</f>
        <v/>
      </c>
      <c r="N301" s="21" t="str">
        <f>IF(data_entry[[#This Row],[تاريخ التغذية الراجعة
mm/dd/yyyy]]="","",TEXT(data_entry[[#This Row],[تاريخ التغذية الراجعة
mm/dd/yyyy]],"mmm-yy"))</f>
        <v/>
      </c>
    </row>
    <row r="302" spans="1:14" ht="20" customHeight="1" x14ac:dyDescent="0.35">
      <c r="A302" s="3">
        <v>300</v>
      </c>
      <c r="E302" s="3" t="str">
        <f>IF(data_entry[[#This Row],[تاريخ الشكوي
mm/dd/yyyy]]="","",IF(data_entry[[#This Row],[تاريخ الحل
mm/dd/yyyy]]="","جاري الحل","تم الحل"))</f>
        <v/>
      </c>
      <c r="I302" s="3" t="str">
        <f t="shared" si="4"/>
        <v/>
      </c>
      <c r="J302" s="3" t="str">
        <f>IF(data_entry[[#This Row],[زمن الحل(يوم)]]="", "", IF(data_entry[[#This Row],[زمن الحل(يوم)]]&lt;=3, IF(data_entry[[#This Row],[زمن الحل(يوم)]]&gt;0, "نعم", "لا"), "لا"))</f>
        <v/>
      </c>
      <c r="K30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2" s="11" t="str">
        <f>IF(data_entry[[#This Row],[تاريخ الشكوي
mm/dd/yyyy]]="","",TEXT(data_entry[[#This Row],[تاريخ الشكوي
mm/dd/yyyy]],"mmm-yyyy"))</f>
        <v/>
      </c>
      <c r="M302" s="5" t="str">
        <f>IF(data_entry[[#This Row],[تاريخ الحل
mm/dd/yyyy]]="","",TEXT(data_entry[[#This Row],[تاريخ الحل
mm/dd/yyyy]],"mmm-yyyy"))</f>
        <v/>
      </c>
      <c r="N302" s="21" t="str">
        <f>IF(data_entry[[#This Row],[تاريخ التغذية الراجعة
mm/dd/yyyy]]="","",TEXT(data_entry[[#This Row],[تاريخ التغذية الراجعة
mm/dd/yyyy]],"mmm-yy"))</f>
        <v/>
      </c>
    </row>
    <row r="303" spans="1:14" ht="20" customHeight="1" x14ac:dyDescent="0.35">
      <c r="A303" s="3">
        <v>301</v>
      </c>
      <c r="E303" s="3" t="str">
        <f>IF(data_entry[[#This Row],[تاريخ الشكوي
mm/dd/yyyy]]="","",IF(data_entry[[#This Row],[تاريخ الحل
mm/dd/yyyy]]="","جاري الحل","تم الحل"))</f>
        <v/>
      </c>
      <c r="I303" s="3" t="str">
        <f t="shared" si="4"/>
        <v/>
      </c>
      <c r="J303" s="3" t="str">
        <f>IF(data_entry[[#This Row],[زمن الحل(يوم)]]="", "", IF(data_entry[[#This Row],[زمن الحل(يوم)]]&lt;=3, IF(data_entry[[#This Row],[زمن الحل(يوم)]]&gt;0, "نعم", "لا"), "لا"))</f>
        <v/>
      </c>
      <c r="K30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3" s="11" t="str">
        <f>IF(data_entry[[#This Row],[تاريخ الشكوي
mm/dd/yyyy]]="","",TEXT(data_entry[[#This Row],[تاريخ الشكوي
mm/dd/yyyy]],"mmm-yyyy"))</f>
        <v/>
      </c>
      <c r="M303" s="5" t="str">
        <f>IF(data_entry[[#This Row],[تاريخ الحل
mm/dd/yyyy]]="","",TEXT(data_entry[[#This Row],[تاريخ الحل
mm/dd/yyyy]],"mmm-yyyy"))</f>
        <v/>
      </c>
      <c r="N303" s="21" t="str">
        <f>IF(data_entry[[#This Row],[تاريخ التغذية الراجعة
mm/dd/yyyy]]="","",TEXT(data_entry[[#This Row],[تاريخ التغذية الراجعة
mm/dd/yyyy]],"mmm-yy"))</f>
        <v/>
      </c>
    </row>
    <row r="304" spans="1:14" ht="20" customHeight="1" x14ac:dyDescent="0.35">
      <c r="A304" s="3">
        <v>302</v>
      </c>
      <c r="E304" s="3" t="str">
        <f>IF(data_entry[[#This Row],[تاريخ الشكوي
mm/dd/yyyy]]="","",IF(data_entry[[#This Row],[تاريخ الحل
mm/dd/yyyy]]="","جاري الحل","تم الحل"))</f>
        <v/>
      </c>
      <c r="I304" s="3" t="str">
        <f t="shared" si="4"/>
        <v/>
      </c>
      <c r="J304" s="3" t="str">
        <f>IF(data_entry[[#This Row],[زمن الحل(يوم)]]="", "", IF(data_entry[[#This Row],[زمن الحل(يوم)]]&lt;=3, IF(data_entry[[#This Row],[زمن الحل(يوم)]]&gt;0, "نعم", "لا"), "لا"))</f>
        <v/>
      </c>
      <c r="K30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4" s="11" t="str">
        <f>IF(data_entry[[#This Row],[تاريخ الشكوي
mm/dd/yyyy]]="","",TEXT(data_entry[[#This Row],[تاريخ الشكوي
mm/dd/yyyy]],"mmm-yyyy"))</f>
        <v/>
      </c>
      <c r="M304" s="5" t="str">
        <f>IF(data_entry[[#This Row],[تاريخ الحل
mm/dd/yyyy]]="","",TEXT(data_entry[[#This Row],[تاريخ الحل
mm/dd/yyyy]],"mmm-yyyy"))</f>
        <v/>
      </c>
      <c r="N304" s="21" t="str">
        <f>IF(data_entry[[#This Row],[تاريخ التغذية الراجعة
mm/dd/yyyy]]="","",TEXT(data_entry[[#This Row],[تاريخ التغذية الراجعة
mm/dd/yyyy]],"mmm-yy"))</f>
        <v/>
      </c>
    </row>
    <row r="305" spans="1:14" ht="20" customHeight="1" x14ac:dyDescent="0.35">
      <c r="A305" s="3">
        <v>303</v>
      </c>
      <c r="E305" s="3" t="str">
        <f>IF(data_entry[[#This Row],[تاريخ الشكوي
mm/dd/yyyy]]="","",IF(data_entry[[#This Row],[تاريخ الحل
mm/dd/yyyy]]="","جاري الحل","تم الحل"))</f>
        <v/>
      </c>
      <c r="I305" s="3" t="str">
        <f t="shared" si="4"/>
        <v/>
      </c>
      <c r="J305" s="3" t="str">
        <f>IF(data_entry[[#This Row],[زمن الحل(يوم)]]="", "", IF(data_entry[[#This Row],[زمن الحل(يوم)]]&lt;=3, IF(data_entry[[#This Row],[زمن الحل(يوم)]]&gt;0, "نعم", "لا"), "لا"))</f>
        <v/>
      </c>
      <c r="K30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5" s="11" t="str">
        <f>IF(data_entry[[#This Row],[تاريخ الشكوي
mm/dd/yyyy]]="","",TEXT(data_entry[[#This Row],[تاريخ الشكوي
mm/dd/yyyy]],"mmm-yyyy"))</f>
        <v/>
      </c>
      <c r="M305" s="5" t="str">
        <f>IF(data_entry[[#This Row],[تاريخ الحل
mm/dd/yyyy]]="","",TEXT(data_entry[[#This Row],[تاريخ الحل
mm/dd/yyyy]],"mmm-yyyy"))</f>
        <v/>
      </c>
      <c r="N305" s="21" t="str">
        <f>IF(data_entry[[#This Row],[تاريخ التغذية الراجعة
mm/dd/yyyy]]="","",TEXT(data_entry[[#This Row],[تاريخ التغذية الراجعة
mm/dd/yyyy]],"mmm-yy"))</f>
        <v/>
      </c>
    </row>
    <row r="306" spans="1:14" ht="20" customHeight="1" x14ac:dyDescent="0.35">
      <c r="A306" s="3">
        <v>304</v>
      </c>
      <c r="E306" s="3" t="str">
        <f>IF(data_entry[[#This Row],[تاريخ الشكوي
mm/dd/yyyy]]="","",IF(data_entry[[#This Row],[تاريخ الحل
mm/dd/yyyy]]="","جاري الحل","تم الحل"))</f>
        <v/>
      </c>
      <c r="I306" s="3" t="str">
        <f t="shared" si="4"/>
        <v/>
      </c>
      <c r="J306" s="3" t="str">
        <f>IF(data_entry[[#This Row],[زمن الحل(يوم)]]="", "", IF(data_entry[[#This Row],[زمن الحل(يوم)]]&lt;=3, IF(data_entry[[#This Row],[زمن الحل(يوم)]]&gt;0, "نعم", "لا"), "لا"))</f>
        <v/>
      </c>
      <c r="K30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6" s="11" t="str">
        <f>IF(data_entry[[#This Row],[تاريخ الشكوي
mm/dd/yyyy]]="","",TEXT(data_entry[[#This Row],[تاريخ الشكوي
mm/dd/yyyy]],"mmm-yyyy"))</f>
        <v/>
      </c>
      <c r="M306" s="5" t="str">
        <f>IF(data_entry[[#This Row],[تاريخ الحل
mm/dd/yyyy]]="","",TEXT(data_entry[[#This Row],[تاريخ الحل
mm/dd/yyyy]],"mmm-yyyy"))</f>
        <v/>
      </c>
      <c r="N306" s="21" t="str">
        <f>IF(data_entry[[#This Row],[تاريخ التغذية الراجعة
mm/dd/yyyy]]="","",TEXT(data_entry[[#This Row],[تاريخ التغذية الراجعة
mm/dd/yyyy]],"mmm-yy"))</f>
        <v/>
      </c>
    </row>
    <row r="307" spans="1:14" ht="20" customHeight="1" x14ac:dyDescent="0.35">
      <c r="A307" s="3">
        <v>305</v>
      </c>
      <c r="E307" s="3" t="str">
        <f>IF(data_entry[[#This Row],[تاريخ الشكوي
mm/dd/yyyy]]="","",IF(data_entry[[#This Row],[تاريخ الحل
mm/dd/yyyy]]="","جاري الحل","تم الحل"))</f>
        <v/>
      </c>
      <c r="I307" s="3" t="str">
        <f t="shared" si="4"/>
        <v/>
      </c>
      <c r="J307" s="3" t="str">
        <f>IF(data_entry[[#This Row],[زمن الحل(يوم)]]="", "", IF(data_entry[[#This Row],[زمن الحل(يوم)]]&lt;=3, IF(data_entry[[#This Row],[زمن الحل(يوم)]]&gt;0, "نعم", "لا"), "لا"))</f>
        <v/>
      </c>
      <c r="K30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7" s="11" t="str">
        <f>IF(data_entry[[#This Row],[تاريخ الشكوي
mm/dd/yyyy]]="","",TEXT(data_entry[[#This Row],[تاريخ الشكوي
mm/dd/yyyy]],"mmm-yyyy"))</f>
        <v/>
      </c>
      <c r="M307" s="5" t="str">
        <f>IF(data_entry[[#This Row],[تاريخ الحل
mm/dd/yyyy]]="","",TEXT(data_entry[[#This Row],[تاريخ الحل
mm/dd/yyyy]],"mmm-yyyy"))</f>
        <v/>
      </c>
      <c r="N307" s="21" t="str">
        <f>IF(data_entry[[#This Row],[تاريخ التغذية الراجعة
mm/dd/yyyy]]="","",TEXT(data_entry[[#This Row],[تاريخ التغذية الراجعة
mm/dd/yyyy]],"mmm-yy"))</f>
        <v/>
      </c>
    </row>
    <row r="308" spans="1:14" ht="20" customHeight="1" x14ac:dyDescent="0.35">
      <c r="A308" s="3">
        <v>306</v>
      </c>
      <c r="E308" s="3" t="str">
        <f>IF(data_entry[[#This Row],[تاريخ الشكوي
mm/dd/yyyy]]="","",IF(data_entry[[#This Row],[تاريخ الحل
mm/dd/yyyy]]="","جاري الحل","تم الحل"))</f>
        <v/>
      </c>
      <c r="I308" s="3" t="str">
        <f t="shared" si="4"/>
        <v/>
      </c>
      <c r="J308" s="3" t="str">
        <f>IF(data_entry[[#This Row],[زمن الحل(يوم)]]="", "", IF(data_entry[[#This Row],[زمن الحل(يوم)]]&lt;=3, IF(data_entry[[#This Row],[زمن الحل(يوم)]]&gt;0, "نعم", "لا"), "لا"))</f>
        <v/>
      </c>
      <c r="K30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8" s="11" t="str">
        <f>IF(data_entry[[#This Row],[تاريخ الشكوي
mm/dd/yyyy]]="","",TEXT(data_entry[[#This Row],[تاريخ الشكوي
mm/dd/yyyy]],"mmm-yyyy"))</f>
        <v/>
      </c>
      <c r="M308" s="5" t="str">
        <f>IF(data_entry[[#This Row],[تاريخ الحل
mm/dd/yyyy]]="","",TEXT(data_entry[[#This Row],[تاريخ الحل
mm/dd/yyyy]],"mmm-yyyy"))</f>
        <v/>
      </c>
      <c r="N308" s="21" t="str">
        <f>IF(data_entry[[#This Row],[تاريخ التغذية الراجعة
mm/dd/yyyy]]="","",TEXT(data_entry[[#This Row],[تاريخ التغذية الراجعة
mm/dd/yyyy]],"mmm-yy"))</f>
        <v/>
      </c>
    </row>
    <row r="309" spans="1:14" ht="20" customHeight="1" x14ac:dyDescent="0.35">
      <c r="A309" s="3">
        <v>307</v>
      </c>
      <c r="E309" s="3" t="str">
        <f>IF(data_entry[[#This Row],[تاريخ الشكوي
mm/dd/yyyy]]="","",IF(data_entry[[#This Row],[تاريخ الحل
mm/dd/yyyy]]="","جاري الحل","تم الحل"))</f>
        <v/>
      </c>
      <c r="I309" s="3" t="str">
        <f t="shared" si="4"/>
        <v/>
      </c>
      <c r="J309" s="3" t="str">
        <f>IF(data_entry[[#This Row],[زمن الحل(يوم)]]="", "", IF(data_entry[[#This Row],[زمن الحل(يوم)]]&lt;=3, IF(data_entry[[#This Row],[زمن الحل(يوم)]]&gt;0, "نعم", "لا"), "لا"))</f>
        <v/>
      </c>
      <c r="K30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09" s="11" t="str">
        <f>IF(data_entry[[#This Row],[تاريخ الشكوي
mm/dd/yyyy]]="","",TEXT(data_entry[[#This Row],[تاريخ الشكوي
mm/dd/yyyy]],"mmm-yyyy"))</f>
        <v/>
      </c>
      <c r="M309" s="5" t="str">
        <f>IF(data_entry[[#This Row],[تاريخ الحل
mm/dd/yyyy]]="","",TEXT(data_entry[[#This Row],[تاريخ الحل
mm/dd/yyyy]],"mmm-yyyy"))</f>
        <v/>
      </c>
      <c r="N309" s="21" t="str">
        <f>IF(data_entry[[#This Row],[تاريخ التغذية الراجعة
mm/dd/yyyy]]="","",TEXT(data_entry[[#This Row],[تاريخ التغذية الراجعة
mm/dd/yyyy]],"mmm-yy"))</f>
        <v/>
      </c>
    </row>
    <row r="310" spans="1:14" ht="20" customHeight="1" x14ac:dyDescent="0.35">
      <c r="A310" s="3">
        <v>308</v>
      </c>
      <c r="E310" s="3" t="str">
        <f>IF(data_entry[[#This Row],[تاريخ الشكوي
mm/dd/yyyy]]="","",IF(data_entry[[#This Row],[تاريخ الحل
mm/dd/yyyy]]="","جاري الحل","تم الحل"))</f>
        <v/>
      </c>
      <c r="I310" s="3" t="str">
        <f t="shared" si="4"/>
        <v/>
      </c>
      <c r="J310" s="3" t="str">
        <f>IF(data_entry[[#This Row],[زمن الحل(يوم)]]="", "", IF(data_entry[[#This Row],[زمن الحل(يوم)]]&lt;=3, IF(data_entry[[#This Row],[زمن الحل(يوم)]]&gt;0, "نعم", "لا"), "لا"))</f>
        <v/>
      </c>
      <c r="K31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0" s="11" t="str">
        <f>IF(data_entry[[#This Row],[تاريخ الشكوي
mm/dd/yyyy]]="","",TEXT(data_entry[[#This Row],[تاريخ الشكوي
mm/dd/yyyy]],"mmm-yyyy"))</f>
        <v/>
      </c>
      <c r="M310" s="5" t="str">
        <f>IF(data_entry[[#This Row],[تاريخ الحل
mm/dd/yyyy]]="","",TEXT(data_entry[[#This Row],[تاريخ الحل
mm/dd/yyyy]],"mmm-yyyy"))</f>
        <v/>
      </c>
      <c r="N310" s="21" t="str">
        <f>IF(data_entry[[#This Row],[تاريخ التغذية الراجعة
mm/dd/yyyy]]="","",TEXT(data_entry[[#This Row],[تاريخ التغذية الراجعة
mm/dd/yyyy]],"mmm-yy"))</f>
        <v/>
      </c>
    </row>
    <row r="311" spans="1:14" ht="20" customHeight="1" x14ac:dyDescent="0.35">
      <c r="A311" s="3">
        <v>309</v>
      </c>
      <c r="E311" s="3" t="str">
        <f>IF(data_entry[[#This Row],[تاريخ الشكوي
mm/dd/yyyy]]="","",IF(data_entry[[#This Row],[تاريخ الحل
mm/dd/yyyy]]="","جاري الحل","تم الحل"))</f>
        <v/>
      </c>
      <c r="I311" s="3" t="str">
        <f t="shared" si="4"/>
        <v/>
      </c>
      <c r="J311" s="3" t="str">
        <f>IF(data_entry[[#This Row],[زمن الحل(يوم)]]="", "", IF(data_entry[[#This Row],[زمن الحل(يوم)]]&lt;=3, IF(data_entry[[#This Row],[زمن الحل(يوم)]]&gt;0, "نعم", "لا"), "لا"))</f>
        <v/>
      </c>
      <c r="K31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1" s="11" t="str">
        <f>IF(data_entry[[#This Row],[تاريخ الشكوي
mm/dd/yyyy]]="","",TEXT(data_entry[[#This Row],[تاريخ الشكوي
mm/dd/yyyy]],"mmm-yyyy"))</f>
        <v/>
      </c>
      <c r="M311" s="5" t="str">
        <f>IF(data_entry[[#This Row],[تاريخ الحل
mm/dd/yyyy]]="","",TEXT(data_entry[[#This Row],[تاريخ الحل
mm/dd/yyyy]],"mmm-yyyy"))</f>
        <v/>
      </c>
      <c r="N311" s="21" t="str">
        <f>IF(data_entry[[#This Row],[تاريخ التغذية الراجعة
mm/dd/yyyy]]="","",TEXT(data_entry[[#This Row],[تاريخ التغذية الراجعة
mm/dd/yyyy]],"mmm-yy"))</f>
        <v/>
      </c>
    </row>
    <row r="312" spans="1:14" ht="20" customHeight="1" x14ac:dyDescent="0.35">
      <c r="A312" s="3">
        <v>310</v>
      </c>
      <c r="E312" s="3" t="str">
        <f>IF(data_entry[[#This Row],[تاريخ الشكوي
mm/dd/yyyy]]="","",IF(data_entry[[#This Row],[تاريخ الحل
mm/dd/yyyy]]="","جاري الحل","تم الحل"))</f>
        <v/>
      </c>
      <c r="I312" s="3" t="str">
        <f t="shared" si="4"/>
        <v/>
      </c>
      <c r="J312" s="3" t="str">
        <f>IF(data_entry[[#This Row],[زمن الحل(يوم)]]="", "", IF(data_entry[[#This Row],[زمن الحل(يوم)]]&lt;=3, IF(data_entry[[#This Row],[زمن الحل(يوم)]]&gt;0, "نعم", "لا"), "لا"))</f>
        <v/>
      </c>
      <c r="K31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2" s="11" t="str">
        <f>IF(data_entry[[#This Row],[تاريخ الشكوي
mm/dd/yyyy]]="","",TEXT(data_entry[[#This Row],[تاريخ الشكوي
mm/dd/yyyy]],"mmm-yyyy"))</f>
        <v/>
      </c>
      <c r="M312" s="5" t="str">
        <f>IF(data_entry[[#This Row],[تاريخ الحل
mm/dd/yyyy]]="","",TEXT(data_entry[[#This Row],[تاريخ الحل
mm/dd/yyyy]],"mmm-yyyy"))</f>
        <v/>
      </c>
      <c r="N312" s="21" t="str">
        <f>IF(data_entry[[#This Row],[تاريخ التغذية الراجعة
mm/dd/yyyy]]="","",TEXT(data_entry[[#This Row],[تاريخ التغذية الراجعة
mm/dd/yyyy]],"mmm-yy"))</f>
        <v/>
      </c>
    </row>
    <row r="313" spans="1:14" ht="20" customHeight="1" x14ac:dyDescent="0.35">
      <c r="A313" s="3">
        <v>311</v>
      </c>
      <c r="E313" s="3" t="str">
        <f>IF(data_entry[[#This Row],[تاريخ الشكوي
mm/dd/yyyy]]="","",IF(data_entry[[#This Row],[تاريخ الحل
mm/dd/yyyy]]="","جاري الحل","تم الحل"))</f>
        <v/>
      </c>
      <c r="I313" s="3" t="str">
        <f t="shared" si="4"/>
        <v/>
      </c>
      <c r="J313" s="3" t="str">
        <f>IF(data_entry[[#This Row],[زمن الحل(يوم)]]="", "", IF(data_entry[[#This Row],[زمن الحل(يوم)]]&lt;=3, IF(data_entry[[#This Row],[زمن الحل(يوم)]]&gt;0, "نعم", "لا"), "لا"))</f>
        <v/>
      </c>
      <c r="K31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3" s="11" t="str">
        <f>IF(data_entry[[#This Row],[تاريخ الشكوي
mm/dd/yyyy]]="","",TEXT(data_entry[[#This Row],[تاريخ الشكوي
mm/dd/yyyy]],"mmm-yyyy"))</f>
        <v/>
      </c>
      <c r="M313" s="5" t="str">
        <f>IF(data_entry[[#This Row],[تاريخ الحل
mm/dd/yyyy]]="","",TEXT(data_entry[[#This Row],[تاريخ الحل
mm/dd/yyyy]],"mmm-yyyy"))</f>
        <v/>
      </c>
      <c r="N313" s="21" t="str">
        <f>IF(data_entry[[#This Row],[تاريخ التغذية الراجعة
mm/dd/yyyy]]="","",TEXT(data_entry[[#This Row],[تاريخ التغذية الراجعة
mm/dd/yyyy]],"mmm-yy"))</f>
        <v/>
      </c>
    </row>
    <row r="314" spans="1:14" ht="20" customHeight="1" x14ac:dyDescent="0.35">
      <c r="A314" s="3">
        <v>312</v>
      </c>
      <c r="E314" s="3" t="str">
        <f>IF(data_entry[[#This Row],[تاريخ الشكوي
mm/dd/yyyy]]="","",IF(data_entry[[#This Row],[تاريخ الحل
mm/dd/yyyy]]="","جاري الحل","تم الحل"))</f>
        <v/>
      </c>
      <c r="I314" s="3" t="str">
        <f t="shared" si="4"/>
        <v/>
      </c>
      <c r="J314" s="3" t="str">
        <f>IF(data_entry[[#This Row],[زمن الحل(يوم)]]="", "", IF(data_entry[[#This Row],[زمن الحل(يوم)]]&lt;=3, IF(data_entry[[#This Row],[زمن الحل(يوم)]]&gt;0, "نعم", "لا"), "لا"))</f>
        <v/>
      </c>
      <c r="K31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4" s="11" t="str">
        <f>IF(data_entry[[#This Row],[تاريخ الشكوي
mm/dd/yyyy]]="","",TEXT(data_entry[[#This Row],[تاريخ الشكوي
mm/dd/yyyy]],"mmm-yyyy"))</f>
        <v/>
      </c>
      <c r="M314" s="5" t="str">
        <f>IF(data_entry[[#This Row],[تاريخ الحل
mm/dd/yyyy]]="","",TEXT(data_entry[[#This Row],[تاريخ الحل
mm/dd/yyyy]],"mmm-yyyy"))</f>
        <v/>
      </c>
      <c r="N314" s="21" t="str">
        <f>IF(data_entry[[#This Row],[تاريخ التغذية الراجعة
mm/dd/yyyy]]="","",TEXT(data_entry[[#This Row],[تاريخ التغذية الراجعة
mm/dd/yyyy]],"mmm-yy"))</f>
        <v/>
      </c>
    </row>
    <row r="315" spans="1:14" ht="20" customHeight="1" x14ac:dyDescent="0.35">
      <c r="A315" s="3">
        <v>313</v>
      </c>
      <c r="E315" s="3" t="str">
        <f>IF(data_entry[[#This Row],[تاريخ الشكوي
mm/dd/yyyy]]="","",IF(data_entry[[#This Row],[تاريخ الحل
mm/dd/yyyy]]="","جاري الحل","تم الحل"))</f>
        <v/>
      </c>
      <c r="I315" s="3" t="str">
        <f t="shared" si="4"/>
        <v/>
      </c>
      <c r="J315" s="3" t="str">
        <f>IF(data_entry[[#This Row],[زمن الحل(يوم)]]="", "", IF(data_entry[[#This Row],[زمن الحل(يوم)]]&lt;=3, IF(data_entry[[#This Row],[زمن الحل(يوم)]]&gt;0, "نعم", "لا"), "لا"))</f>
        <v/>
      </c>
      <c r="K31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5" s="11" t="str">
        <f>IF(data_entry[[#This Row],[تاريخ الشكوي
mm/dd/yyyy]]="","",TEXT(data_entry[[#This Row],[تاريخ الشكوي
mm/dd/yyyy]],"mmm-yyyy"))</f>
        <v/>
      </c>
      <c r="M315" s="5" t="str">
        <f>IF(data_entry[[#This Row],[تاريخ الحل
mm/dd/yyyy]]="","",TEXT(data_entry[[#This Row],[تاريخ الحل
mm/dd/yyyy]],"mmm-yyyy"))</f>
        <v/>
      </c>
      <c r="N315" s="21" t="str">
        <f>IF(data_entry[[#This Row],[تاريخ التغذية الراجعة
mm/dd/yyyy]]="","",TEXT(data_entry[[#This Row],[تاريخ التغذية الراجعة
mm/dd/yyyy]],"mmm-yy"))</f>
        <v/>
      </c>
    </row>
    <row r="316" spans="1:14" ht="20" customHeight="1" x14ac:dyDescent="0.35">
      <c r="A316" s="3">
        <v>314</v>
      </c>
      <c r="E316" s="3" t="str">
        <f>IF(data_entry[[#This Row],[تاريخ الشكوي
mm/dd/yyyy]]="","",IF(data_entry[[#This Row],[تاريخ الحل
mm/dd/yyyy]]="","جاري الحل","تم الحل"))</f>
        <v/>
      </c>
      <c r="I316" s="3" t="str">
        <f t="shared" si="4"/>
        <v/>
      </c>
      <c r="J316" s="3" t="str">
        <f>IF(data_entry[[#This Row],[زمن الحل(يوم)]]="", "", IF(data_entry[[#This Row],[زمن الحل(يوم)]]&lt;=3, IF(data_entry[[#This Row],[زمن الحل(يوم)]]&gt;0, "نعم", "لا"), "لا"))</f>
        <v/>
      </c>
      <c r="K31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6" s="11" t="str">
        <f>IF(data_entry[[#This Row],[تاريخ الشكوي
mm/dd/yyyy]]="","",TEXT(data_entry[[#This Row],[تاريخ الشكوي
mm/dd/yyyy]],"mmm-yyyy"))</f>
        <v/>
      </c>
      <c r="M316" s="5" t="str">
        <f>IF(data_entry[[#This Row],[تاريخ الحل
mm/dd/yyyy]]="","",TEXT(data_entry[[#This Row],[تاريخ الحل
mm/dd/yyyy]],"mmm-yyyy"))</f>
        <v/>
      </c>
      <c r="N316" s="21" t="str">
        <f>IF(data_entry[[#This Row],[تاريخ التغذية الراجعة
mm/dd/yyyy]]="","",TEXT(data_entry[[#This Row],[تاريخ التغذية الراجعة
mm/dd/yyyy]],"mmm-yy"))</f>
        <v/>
      </c>
    </row>
    <row r="317" spans="1:14" ht="20" customHeight="1" x14ac:dyDescent="0.35">
      <c r="A317" s="3">
        <v>315</v>
      </c>
      <c r="E317" s="3" t="str">
        <f>IF(data_entry[[#This Row],[تاريخ الشكوي
mm/dd/yyyy]]="","",IF(data_entry[[#This Row],[تاريخ الحل
mm/dd/yyyy]]="","جاري الحل","تم الحل"))</f>
        <v/>
      </c>
      <c r="I317" s="3" t="str">
        <f t="shared" si="4"/>
        <v/>
      </c>
      <c r="J317" s="3" t="str">
        <f>IF(data_entry[[#This Row],[زمن الحل(يوم)]]="", "", IF(data_entry[[#This Row],[زمن الحل(يوم)]]&lt;=3, IF(data_entry[[#This Row],[زمن الحل(يوم)]]&gt;0, "نعم", "لا"), "لا"))</f>
        <v/>
      </c>
      <c r="K31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7" s="11" t="str">
        <f>IF(data_entry[[#This Row],[تاريخ الشكوي
mm/dd/yyyy]]="","",TEXT(data_entry[[#This Row],[تاريخ الشكوي
mm/dd/yyyy]],"mmm-yyyy"))</f>
        <v/>
      </c>
      <c r="M317" s="5" t="str">
        <f>IF(data_entry[[#This Row],[تاريخ الحل
mm/dd/yyyy]]="","",TEXT(data_entry[[#This Row],[تاريخ الحل
mm/dd/yyyy]],"mmm-yyyy"))</f>
        <v/>
      </c>
      <c r="N317" s="21" t="str">
        <f>IF(data_entry[[#This Row],[تاريخ التغذية الراجعة
mm/dd/yyyy]]="","",TEXT(data_entry[[#This Row],[تاريخ التغذية الراجعة
mm/dd/yyyy]],"mmm-yy"))</f>
        <v/>
      </c>
    </row>
    <row r="318" spans="1:14" ht="20" customHeight="1" x14ac:dyDescent="0.35">
      <c r="A318" s="3">
        <v>316</v>
      </c>
      <c r="E318" s="3" t="str">
        <f>IF(data_entry[[#This Row],[تاريخ الشكوي
mm/dd/yyyy]]="","",IF(data_entry[[#This Row],[تاريخ الحل
mm/dd/yyyy]]="","جاري الحل","تم الحل"))</f>
        <v/>
      </c>
      <c r="I318" s="3" t="str">
        <f t="shared" si="4"/>
        <v/>
      </c>
      <c r="J318" s="3" t="str">
        <f>IF(data_entry[[#This Row],[زمن الحل(يوم)]]="", "", IF(data_entry[[#This Row],[زمن الحل(يوم)]]&lt;=3, IF(data_entry[[#This Row],[زمن الحل(يوم)]]&gt;0, "نعم", "لا"), "لا"))</f>
        <v/>
      </c>
      <c r="K31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8" s="11" t="str">
        <f>IF(data_entry[[#This Row],[تاريخ الشكوي
mm/dd/yyyy]]="","",TEXT(data_entry[[#This Row],[تاريخ الشكوي
mm/dd/yyyy]],"mmm-yyyy"))</f>
        <v/>
      </c>
      <c r="M318" s="5" t="str">
        <f>IF(data_entry[[#This Row],[تاريخ الحل
mm/dd/yyyy]]="","",TEXT(data_entry[[#This Row],[تاريخ الحل
mm/dd/yyyy]],"mmm-yyyy"))</f>
        <v/>
      </c>
      <c r="N318" s="21" t="str">
        <f>IF(data_entry[[#This Row],[تاريخ التغذية الراجعة
mm/dd/yyyy]]="","",TEXT(data_entry[[#This Row],[تاريخ التغذية الراجعة
mm/dd/yyyy]],"mmm-yy"))</f>
        <v/>
      </c>
    </row>
    <row r="319" spans="1:14" ht="20" customHeight="1" x14ac:dyDescent="0.35">
      <c r="A319" s="3">
        <v>317</v>
      </c>
      <c r="E319" s="3" t="str">
        <f>IF(data_entry[[#This Row],[تاريخ الشكوي
mm/dd/yyyy]]="","",IF(data_entry[[#This Row],[تاريخ الحل
mm/dd/yyyy]]="","جاري الحل","تم الحل"))</f>
        <v/>
      </c>
      <c r="I319" s="3" t="str">
        <f t="shared" si="4"/>
        <v/>
      </c>
      <c r="J319" s="3" t="str">
        <f>IF(data_entry[[#This Row],[زمن الحل(يوم)]]="", "", IF(data_entry[[#This Row],[زمن الحل(يوم)]]&lt;=3, IF(data_entry[[#This Row],[زمن الحل(يوم)]]&gt;0, "نعم", "لا"), "لا"))</f>
        <v/>
      </c>
      <c r="K31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19" s="11" t="str">
        <f>IF(data_entry[[#This Row],[تاريخ الشكوي
mm/dd/yyyy]]="","",TEXT(data_entry[[#This Row],[تاريخ الشكوي
mm/dd/yyyy]],"mmm-yyyy"))</f>
        <v/>
      </c>
      <c r="M319" s="5" t="str">
        <f>IF(data_entry[[#This Row],[تاريخ الحل
mm/dd/yyyy]]="","",TEXT(data_entry[[#This Row],[تاريخ الحل
mm/dd/yyyy]],"mmm-yyyy"))</f>
        <v/>
      </c>
      <c r="N319" s="21" t="str">
        <f>IF(data_entry[[#This Row],[تاريخ التغذية الراجعة
mm/dd/yyyy]]="","",TEXT(data_entry[[#This Row],[تاريخ التغذية الراجعة
mm/dd/yyyy]],"mmm-yy"))</f>
        <v/>
      </c>
    </row>
    <row r="320" spans="1:14" ht="20" customHeight="1" x14ac:dyDescent="0.35">
      <c r="A320" s="3">
        <v>318</v>
      </c>
      <c r="E320" s="3" t="str">
        <f>IF(data_entry[[#This Row],[تاريخ الشكوي
mm/dd/yyyy]]="","",IF(data_entry[[#This Row],[تاريخ الحل
mm/dd/yyyy]]="","جاري الحل","تم الحل"))</f>
        <v/>
      </c>
      <c r="I320" s="3" t="str">
        <f t="shared" si="4"/>
        <v/>
      </c>
      <c r="J320" s="3" t="str">
        <f>IF(data_entry[[#This Row],[زمن الحل(يوم)]]="", "", IF(data_entry[[#This Row],[زمن الحل(يوم)]]&lt;=3, IF(data_entry[[#This Row],[زمن الحل(يوم)]]&gt;0, "نعم", "لا"), "لا"))</f>
        <v/>
      </c>
      <c r="K32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0" s="11" t="str">
        <f>IF(data_entry[[#This Row],[تاريخ الشكوي
mm/dd/yyyy]]="","",TEXT(data_entry[[#This Row],[تاريخ الشكوي
mm/dd/yyyy]],"mmm-yyyy"))</f>
        <v/>
      </c>
      <c r="M320" s="5" t="str">
        <f>IF(data_entry[[#This Row],[تاريخ الحل
mm/dd/yyyy]]="","",TEXT(data_entry[[#This Row],[تاريخ الحل
mm/dd/yyyy]],"mmm-yyyy"))</f>
        <v/>
      </c>
      <c r="N320" s="21" t="str">
        <f>IF(data_entry[[#This Row],[تاريخ التغذية الراجعة
mm/dd/yyyy]]="","",TEXT(data_entry[[#This Row],[تاريخ التغذية الراجعة
mm/dd/yyyy]],"mmm-yy"))</f>
        <v/>
      </c>
    </row>
    <row r="321" spans="1:14" ht="20" customHeight="1" x14ac:dyDescent="0.35">
      <c r="A321" s="3">
        <v>319</v>
      </c>
      <c r="E321" s="3" t="str">
        <f>IF(data_entry[[#This Row],[تاريخ الشكوي
mm/dd/yyyy]]="","",IF(data_entry[[#This Row],[تاريخ الحل
mm/dd/yyyy]]="","جاري الحل","تم الحل"))</f>
        <v/>
      </c>
      <c r="I321" s="3" t="str">
        <f t="shared" si="4"/>
        <v/>
      </c>
      <c r="J321" s="3" t="str">
        <f>IF(data_entry[[#This Row],[زمن الحل(يوم)]]="", "", IF(data_entry[[#This Row],[زمن الحل(يوم)]]&lt;=3, IF(data_entry[[#This Row],[زمن الحل(يوم)]]&gt;0, "نعم", "لا"), "لا"))</f>
        <v/>
      </c>
      <c r="K32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1" s="11" t="str">
        <f>IF(data_entry[[#This Row],[تاريخ الشكوي
mm/dd/yyyy]]="","",TEXT(data_entry[[#This Row],[تاريخ الشكوي
mm/dd/yyyy]],"mmm-yyyy"))</f>
        <v/>
      </c>
      <c r="M321" s="5" t="str">
        <f>IF(data_entry[[#This Row],[تاريخ الحل
mm/dd/yyyy]]="","",TEXT(data_entry[[#This Row],[تاريخ الحل
mm/dd/yyyy]],"mmm-yyyy"))</f>
        <v/>
      </c>
      <c r="N321" s="21" t="str">
        <f>IF(data_entry[[#This Row],[تاريخ التغذية الراجعة
mm/dd/yyyy]]="","",TEXT(data_entry[[#This Row],[تاريخ التغذية الراجعة
mm/dd/yyyy]],"mmm-yy"))</f>
        <v/>
      </c>
    </row>
    <row r="322" spans="1:14" ht="20" customHeight="1" x14ac:dyDescent="0.35">
      <c r="A322" s="3">
        <v>320</v>
      </c>
      <c r="E322" s="3" t="str">
        <f>IF(data_entry[[#This Row],[تاريخ الشكوي
mm/dd/yyyy]]="","",IF(data_entry[[#This Row],[تاريخ الحل
mm/dd/yyyy]]="","جاري الحل","تم الحل"))</f>
        <v/>
      </c>
      <c r="I322" s="3" t="str">
        <f t="shared" si="4"/>
        <v/>
      </c>
      <c r="J322" s="3" t="str">
        <f>IF(data_entry[[#This Row],[زمن الحل(يوم)]]="", "", IF(data_entry[[#This Row],[زمن الحل(يوم)]]&lt;=3, IF(data_entry[[#This Row],[زمن الحل(يوم)]]&gt;0, "نعم", "لا"), "لا"))</f>
        <v/>
      </c>
      <c r="K32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2" s="11" t="str">
        <f>IF(data_entry[[#This Row],[تاريخ الشكوي
mm/dd/yyyy]]="","",TEXT(data_entry[[#This Row],[تاريخ الشكوي
mm/dd/yyyy]],"mmm-yyyy"))</f>
        <v/>
      </c>
      <c r="M322" s="5" t="str">
        <f>IF(data_entry[[#This Row],[تاريخ الحل
mm/dd/yyyy]]="","",TEXT(data_entry[[#This Row],[تاريخ الحل
mm/dd/yyyy]],"mmm-yyyy"))</f>
        <v/>
      </c>
      <c r="N322" s="21" t="str">
        <f>IF(data_entry[[#This Row],[تاريخ التغذية الراجعة
mm/dd/yyyy]]="","",TEXT(data_entry[[#This Row],[تاريخ التغذية الراجعة
mm/dd/yyyy]],"mmm-yy"))</f>
        <v/>
      </c>
    </row>
    <row r="323" spans="1:14" ht="20" customHeight="1" x14ac:dyDescent="0.35">
      <c r="A323" s="3">
        <v>321</v>
      </c>
      <c r="E323" s="3" t="str">
        <f>IF(data_entry[[#This Row],[تاريخ الشكوي
mm/dd/yyyy]]="","",IF(data_entry[[#This Row],[تاريخ الحل
mm/dd/yyyy]]="","جاري الحل","تم الحل"))</f>
        <v/>
      </c>
      <c r="I323" s="3" t="str">
        <f t="shared" si="4"/>
        <v/>
      </c>
      <c r="J323" s="3" t="str">
        <f>IF(data_entry[[#This Row],[زمن الحل(يوم)]]="", "", IF(data_entry[[#This Row],[زمن الحل(يوم)]]&lt;=3, IF(data_entry[[#This Row],[زمن الحل(يوم)]]&gt;0, "نعم", "لا"), "لا"))</f>
        <v/>
      </c>
      <c r="K32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3" s="11" t="str">
        <f>IF(data_entry[[#This Row],[تاريخ الشكوي
mm/dd/yyyy]]="","",TEXT(data_entry[[#This Row],[تاريخ الشكوي
mm/dd/yyyy]],"mmm-yyyy"))</f>
        <v/>
      </c>
      <c r="M323" s="5" t="str">
        <f>IF(data_entry[[#This Row],[تاريخ الحل
mm/dd/yyyy]]="","",TEXT(data_entry[[#This Row],[تاريخ الحل
mm/dd/yyyy]],"mmm-yyyy"))</f>
        <v/>
      </c>
      <c r="N323" s="21" t="str">
        <f>IF(data_entry[[#This Row],[تاريخ التغذية الراجعة
mm/dd/yyyy]]="","",TEXT(data_entry[[#This Row],[تاريخ التغذية الراجعة
mm/dd/yyyy]],"mmm-yy"))</f>
        <v/>
      </c>
    </row>
    <row r="324" spans="1:14" ht="20" customHeight="1" x14ac:dyDescent="0.35">
      <c r="A324" s="3">
        <v>322</v>
      </c>
      <c r="E324" s="3" t="str">
        <f>IF(data_entry[[#This Row],[تاريخ الشكوي
mm/dd/yyyy]]="","",IF(data_entry[[#This Row],[تاريخ الحل
mm/dd/yyyy]]="","جاري الحل","تم الحل"))</f>
        <v/>
      </c>
      <c r="I324" s="3" t="str">
        <f t="shared" ref="I324:I352" si="5">IF(K324="","",IF(K324=0,"نعم","لا"))</f>
        <v/>
      </c>
      <c r="J324" s="3" t="str">
        <f>IF(data_entry[[#This Row],[زمن الحل(يوم)]]="", "", IF(data_entry[[#This Row],[زمن الحل(يوم)]]&lt;=3, IF(data_entry[[#This Row],[زمن الحل(يوم)]]&gt;0, "نعم", "لا"), "لا"))</f>
        <v/>
      </c>
      <c r="K32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4" s="11" t="str">
        <f>IF(data_entry[[#This Row],[تاريخ الشكوي
mm/dd/yyyy]]="","",TEXT(data_entry[[#This Row],[تاريخ الشكوي
mm/dd/yyyy]],"mmm-yyyy"))</f>
        <v/>
      </c>
      <c r="M324" s="5" t="str">
        <f>IF(data_entry[[#This Row],[تاريخ الحل
mm/dd/yyyy]]="","",TEXT(data_entry[[#This Row],[تاريخ الحل
mm/dd/yyyy]],"mmm-yyyy"))</f>
        <v/>
      </c>
      <c r="N324" s="21" t="str">
        <f>IF(data_entry[[#This Row],[تاريخ التغذية الراجعة
mm/dd/yyyy]]="","",TEXT(data_entry[[#This Row],[تاريخ التغذية الراجعة
mm/dd/yyyy]],"mmm-yy"))</f>
        <v/>
      </c>
    </row>
    <row r="325" spans="1:14" ht="20" customHeight="1" x14ac:dyDescent="0.35">
      <c r="A325" s="3">
        <v>323</v>
      </c>
      <c r="E325" s="3" t="str">
        <f>IF(data_entry[[#This Row],[تاريخ الشكوي
mm/dd/yyyy]]="","",IF(data_entry[[#This Row],[تاريخ الحل
mm/dd/yyyy]]="","جاري الحل","تم الحل"))</f>
        <v/>
      </c>
      <c r="I325" s="3" t="str">
        <f t="shared" si="5"/>
        <v/>
      </c>
      <c r="J325" s="3" t="str">
        <f>IF(data_entry[[#This Row],[زمن الحل(يوم)]]="", "", IF(data_entry[[#This Row],[زمن الحل(يوم)]]&lt;=3, IF(data_entry[[#This Row],[زمن الحل(يوم)]]&gt;0, "نعم", "لا"), "لا"))</f>
        <v/>
      </c>
      <c r="K32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5" s="11" t="str">
        <f>IF(data_entry[[#This Row],[تاريخ الشكوي
mm/dd/yyyy]]="","",TEXT(data_entry[[#This Row],[تاريخ الشكوي
mm/dd/yyyy]],"mmm-yyyy"))</f>
        <v/>
      </c>
      <c r="M325" s="5" t="str">
        <f>IF(data_entry[[#This Row],[تاريخ الحل
mm/dd/yyyy]]="","",TEXT(data_entry[[#This Row],[تاريخ الحل
mm/dd/yyyy]],"mmm-yyyy"))</f>
        <v/>
      </c>
      <c r="N325" s="21" t="str">
        <f>IF(data_entry[[#This Row],[تاريخ التغذية الراجعة
mm/dd/yyyy]]="","",TEXT(data_entry[[#This Row],[تاريخ التغذية الراجعة
mm/dd/yyyy]],"mmm-yy"))</f>
        <v/>
      </c>
    </row>
    <row r="326" spans="1:14" ht="20" customHeight="1" x14ac:dyDescent="0.35">
      <c r="A326" s="3">
        <v>324</v>
      </c>
      <c r="E326" s="3" t="str">
        <f>IF(data_entry[[#This Row],[تاريخ الشكوي
mm/dd/yyyy]]="","",IF(data_entry[[#This Row],[تاريخ الحل
mm/dd/yyyy]]="","جاري الحل","تم الحل"))</f>
        <v/>
      </c>
      <c r="I326" s="3" t="str">
        <f t="shared" si="5"/>
        <v/>
      </c>
      <c r="J326" s="3" t="str">
        <f>IF(data_entry[[#This Row],[زمن الحل(يوم)]]="", "", IF(data_entry[[#This Row],[زمن الحل(يوم)]]&lt;=3, IF(data_entry[[#This Row],[زمن الحل(يوم)]]&gt;0, "نعم", "لا"), "لا"))</f>
        <v/>
      </c>
      <c r="K32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6" s="11" t="str">
        <f>IF(data_entry[[#This Row],[تاريخ الشكوي
mm/dd/yyyy]]="","",TEXT(data_entry[[#This Row],[تاريخ الشكوي
mm/dd/yyyy]],"mmm-yyyy"))</f>
        <v/>
      </c>
      <c r="M326" s="5" t="str">
        <f>IF(data_entry[[#This Row],[تاريخ الحل
mm/dd/yyyy]]="","",TEXT(data_entry[[#This Row],[تاريخ الحل
mm/dd/yyyy]],"mmm-yyyy"))</f>
        <v/>
      </c>
      <c r="N326" s="21" t="str">
        <f>IF(data_entry[[#This Row],[تاريخ التغذية الراجعة
mm/dd/yyyy]]="","",TEXT(data_entry[[#This Row],[تاريخ التغذية الراجعة
mm/dd/yyyy]],"mmm-yy"))</f>
        <v/>
      </c>
    </row>
    <row r="327" spans="1:14" ht="20" customHeight="1" x14ac:dyDescent="0.35">
      <c r="A327" s="3">
        <v>325</v>
      </c>
      <c r="E327" s="3" t="str">
        <f>IF(data_entry[[#This Row],[تاريخ الشكوي
mm/dd/yyyy]]="","",IF(data_entry[[#This Row],[تاريخ الحل
mm/dd/yyyy]]="","جاري الحل","تم الحل"))</f>
        <v/>
      </c>
      <c r="I327" s="3" t="str">
        <f t="shared" si="5"/>
        <v/>
      </c>
      <c r="J327" s="3" t="str">
        <f>IF(data_entry[[#This Row],[زمن الحل(يوم)]]="", "", IF(data_entry[[#This Row],[زمن الحل(يوم)]]&lt;=3, IF(data_entry[[#This Row],[زمن الحل(يوم)]]&gt;0, "نعم", "لا"), "لا"))</f>
        <v/>
      </c>
      <c r="K32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7" s="11" t="str">
        <f>IF(data_entry[[#This Row],[تاريخ الشكوي
mm/dd/yyyy]]="","",TEXT(data_entry[[#This Row],[تاريخ الشكوي
mm/dd/yyyy]],"mmm-yyyy"))</f>
        <v/>
      </c>
      <c r="M327" s="5" t="str">
        <f>IF(data_entry[[#This Row],[تاريخ الحل
mm/dd/yyyy]]="","",TEXT(data_entry[[#This Row],[تاريخ الحل
mm/dd/yyyy]],"mmm-yyyy"))</f>
        <v/>
      </c>
      <c r="N327" s="21" t="str">
        <f>IF(data_entry[[#This Row],[تاريخ التغذية الراجعة
mm/dd/yyyy]]="","",TEXT(data_entry[[#This Row],[تاريخ التغذية الراجعة
mm/dd/yyyy]],"mmm-yy"))</f>
        <v/>
      </c>
    </row>
    <row r="328" spans="1:14" ht="20" customHeight="1" x14ac:dyDescent="0.35">
      <c r="A328" s="3">
        <v>326</v>
      </c>
      <c r="E328" s="3" t="str">
        <f>IF(data_entry[[#This Row],[تاريخ الشكوي
mm/dd/yyyy]]="","",IF(data_entry[[#This Row],[تاريخ الحل
mm/dd/yyyy]]="","جاري الحل","تم الحل"))</f>
        <v/>
      </c>
      <c r="I328" s="3" t="str">
        <f t="shared" si="5"/>
        <v/>
      </c>
      <c r="J328" s="3" t="str">
        <f>IF(data_entry[[#This Row],[زمن الحل(يوم)]]="", "", IF(data_entry[[#This Row],[زمن الحل(يوم)]]&lt;=3, IF(data_entry[[#This Row],[زمن الحل(يوم)]]&gt;0, "نعم", "لا"), "لا"))</f>
        <v/>
      </c>
      <c r="K32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8" s="11" t="str">
        <f>IF(data_entry[[#This Row],[تاريخ الشكوي
mm/dd/yyyy]]="","",TEXT(data_entry[[#This Row],[تاريخ الشكوي
mm/dd/yyyy]],"mmm-yyyy"))</f>
        <v/>
      </c>
      <c r="M328" s="5" t="str">
        <f>IF(data_entry[[#This Row],[تاريخ الحل
mm/dd/yyyy]]="","",TEXT(data_entry[[#This Row],[تاريخ الحل
mm/dd/yyyy]],"mmm-yyyy"))</f>
        <v/>
      </c>
      <c r="N328" s="21" t="str">
        <f>IF(data_entry[[#This Row],[تاريخ التغذية الراجعة
mm/dd/yyyy]]="","",TEXT(data_entry[[#This Row],[تاريخ التغذية الراجعة
mm/dd/yyyy]],"mmm-yy"))</f>
        <v/>
      </c>
    </row>
    <row r="329" spans="1:14" ht="20" customHeight="1" x14ac:dyDescent="0.35">
      <c r="A329" s="3">
        <v>327</v>
      </c>
      <c r="E329" s="3" t="str">
        <f>IF(data_entry[[#This Row],[تاريخ الشكوي
mm/dd/yyyy]]="","",IF(data_entry[[#This Row],[تاريخ الحل
mm/dd/yyyy]]="","جاري الحل","تم الحل"))</f>
        <v/>
      </c>
      <c r="I329" s="3" t="str">
        <f t="shared" si="5"/>
        <v/>
      </c>
      <c r="J329" s="3" t="str">
        <f>IF(data_entry[[#This Row],[زمن الحل(يوم)]]="", "", IF(data_entry[[#This Row],[زمن الحل(يوم)]]&lt;=3, IF(data_entry[[#This Row],[زمن الحل(يوم)]]&gt;0, "نعم", "لا"), "لا"))</f>
        <v/>
      </c>
      <c r="K32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29" s="11" t="str">
        <f>IF(data_entry[[#This Row],[تاريخ الشكوي
mm/dd/yyyy]]="","",TEXT(data_entry[[#This Row],[تاريخ الشكوي
mm/dd/yyyy]],"mmm-yyyy"))</f>
        <v/>
      </c>
      <c r="M329" s="5" t="str">
        <f>IF(data_entry[[#This Row],[تاريخ الحل
mm/dd/yyyy]]="","",TEXT(data_entry[[#This Row],[تاريخ الحل
mm/dd/yyyy]],"mmm-yyyy"))</f>
        <v/>
      </c>
      <c r="N329" s="21" t="str">
        <f>IF(data_entry[[#This Row],[تاريخ التغذية الراجعة
mm/dd/yyyy]]="","",TEXT(data_entry[[#This Row],[تاريخ التغذية الراجعة
mm/dd/yyyy]],"mmm-yy"))</f>
        <v/>
      </c>
    </row>
    <row r="330" spans="1:14" ht="20" customHeight="1" x14ac:dyDescent="0.35">
      <c r="A330" s="3">
        <v>328</v>
      </c>
      <c r="E330" s="3" t="str">
        <f>IF(data_entry[[#This Row],[تاريخ الشكوي
mm/dd/yyyy]]="","",IF(data_entry[[#This Row],[تاريخ الحل
mm/dd/yyyy]]="","جاري الحل","تم الحل"))</f>
        <v/>
      </c>
      <c r="I330" s="3" t="str">
        <f t="shared" si="5"/>
        <v/>
      </c>
      <c r="J330" s="3" t="str">
        <f>IF(data_entry[[#This Row],[زمن الحل(يوم)]]="", "", IF(data_entry[[#This Row],[زمن الحل(يوم)]]&lt;=3, IF(data_entry[[#This Row],[زمن الحل(يوم)]]&gt;0, "نعم", "لا"), "لا"))</f>
        <v/>
      </c>
      <c r="K33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0" s="11" t="str">
        <f>IF(data_entry[[#This Row],[تاريخ الشكوي
mm/dd/yyyy]]="","",TEXT(data_entry[[#This Row],[تاريخ الشكوي
mm/dd/yyyy]],"mmm-yyyy"))</f>
        <v/>
      </c>
      <c r="M330" s="5" t="str">
        <f>IF(data_entry[[#This Row],[تاريخ الحل
mm/dd/yyyy]]="","",TEXT(data_entry[[#This Row],[تاريخ الحل
mm/dd/yyyy]],"mmm-yyyy"))</f>
        <v/>
      </c>
      <c r="N330" s="21" t="str">
        <f>IF(data_entry[[#This Row],[تاريخ التغذية الراجعة
mm/dd/yyyy]]="","",TEXT(data_entry[[#This Row],[تاريخ التغذية الراجعة
mm/dd/yyyy]],"mmm-yy"))</f>
        <v/>
      </c>
    </row>
    <row r="331" spans="1:14" ht="20" customHeight="1" x14ac:dyDescent="0.35">
      <c r="A331" s="3">
        <v>329</v>
      </c>
      <c r="E331" s="3" t="str">
        <f>IF(data_entry[[#This Row],[تاريخ الشكوي
mm/dd/yyyy]]="","",IF(data_entry[[#This Row],[تاريخ الحل
mm/dd/yyyy]]="","جاري الحل","تم الحل"))</f>
        <v/>
      </c>
      <c r="I331" s="3" t="str">
        <f t="shared" si="5"/>
        <v/>
      </c>
      <c r="J331" s="3" t="str">
        <f>IF(data_entry[[#This Row],[زمن الحل(يوم)]]="", "", IF(data_entry[[#This Row],[زمن الحل(يوم)]]&lt;=3, IF(data_entry[[#This Row],[زمن الحل(يوم)]]&gt;0, "نعم", "لا"), "لا"))</f>
        <v/>
      </c>
      <c r="K33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1" s="11" t="str">
        <f>IF(data_entry[[#This Row],[تاريخ الشكوي
mm/dd/yyyy]]="","",TEXT(data_entry[[#This Row],[تاريخ الشكوي
mm/dd/yyyy]],"mmm-yyyy"))</f>
        <v/>
      </c>
      <c r="M331" s="5" t="str">
        <f>IF(data_entry[[#This Row],[تاريخ الحل
mm/dd/yyyy]]="","",TEXT(data_entry[[#This Row],[تاريخ الحل
mm/dd/yyyy]],"mmm-yyyy"))</f>
        <v/>
      </c>
      <c r="N331" s="21" t="str">
        <f>IF(data_entry[[#This Row],[تاريخ التغذية الراجعة
mm/dd/yyyy]]="","",TEXT(data_entry[[#This Row],[تاريخ التغذية الراجعة
mm/dd/yyyy]],"mmm-yy"))</f>
        <v/>
      </c>
    </row>
    <row r="332" spans="1:14" ht="20" customHeight="1" x14ac:dyDescent="0.35">
      <c r="A332" s="3">
        <v>330</v>
      </c>
      <c r="E332" s="3" t="str">
        <f>IF(data_entry[[#This Row],[تاريخ الشكوي
mm/dd/yyyy]]="","",IF(data_entry[[#This Row],[تاريخ الحل
mm/dd/yyyy]]="","جاري الحل","تم الحل"))</f>
        <v/>
      </c>
      <c r="I332" s="3" t="str">
        <f t="shared" si="5"/>
        <v/>
      </c>
      <c r="J332" s="3" t="str">
        <f>IF(data_entry[[#This Row],[زمن الحل(يوم)]]="", "", IF(data_entry[[#This Row],[زمن الحل(يوم)]]&lt;=3, IF(data_entry[[#This Row],[زمن الحل(يوم)]]&gt;0, "نعم", "لا"), "لا"))</f>
        <v/>
      </c>
      <c r="K33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2" s="11" t="str">
        <f>IF(data_entry[[#This Row],[تاريخ الشكوي
mm/dd/yyyy]]="","",TEXT(data_entry[[#This Row],[تاريخ الشكوي
mm/dd/yyyy]],"mmm-yyyy"))</f>
        <v/>
      </c>
      <c r="M332" s="5" t="str">
        <f>IF(data_entry[[#This Row],[تاريخ الحل
mm/dd/yyyy]]="","",TEXT(data_entry[[#This Row],[تاريخ الحل
mm/dd/yyyy]],"mmm-yyyy"))</f>
        <v/>
      </c>
      <c r="N332" s="21" t="str">
        <f>IF(data_entry[[#This Row],[تاريخ التغذية الراجعة
mm/dd/yyyy]]="","",TEXT(data_entry[[#This Row],[تاريخ التغذية الراجعة
mm/dd/yyyy]],"mmm-yy"))</f>
        <v/>
      </c>
    </row>
    <row r="333" spans="1:14" ht="20" customHeight="1" x14ac:dyDescent="0.35">
      <c r="A333" s="3">
        <v>331</v>
      </c>
      <c r="E333" s="3" t="str">
        <f>IF(data_entry[[#This Row],[تاريخ الشكوي
mm/dd/yyyy]]="","",IF(data_entry[[#This Row],[تاريخ الحل
mm/dd/yyyy]]="","جاري الحل","تم الحل"))</f>
        <v/>
      </c>
      <c r="I333" s="3" t="str">
        <f t="shared" si="5"/>
        <v/>
      </c>
      <c r="J333" s="3" t="str">
        <f>IF(data_entry[[#This Row],[زمن الحل(يوم)]]="", "", IF(data_entry[[#This Row],[زمن الحل(يوم)]]&lt;=3, IF(data_entry[[#This Row],[زمن الحل(يوم)]]&gt;0, "نعم", "لا"), "لا"))</f>
        <v/>
      </c>
      <c r="K33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3" s="11" t="str">
        <f>IF(data_entry[[#This Row],[تاريخ الشكوي
mm/dd/yyyy]]="","",TEXT(data_entry[[#This Row],[تاريخ الشكوي
mm/dd/yyyy]],"mmm-yyyy"))</f>
        <v/>
      </c>
      <c r="M333" s="5" t="str">
        <f>IF(data_entry[[#This Row],[تاريخ الحل
mm/dd/yyyy]]="","",TEXT(data_entry[[#This Row],[تاريخ الحل
mm/dd/yyyy]],"mmm-yyyy"))</f>
        <v/>
      </c>
      <c r="N333" s="21" t="str">
        <f>IF(data_entry[[#This Row],[تاريخ التغذية الراجعة
mm/dd/yyyy]]="","",TEXT(data_entry[[#This Row],[تاريخ التغذية الراجعة
mm/dd/yyyy]],"mmm-yy"))</f>
        <v/>
      </c>
    </row>
    <row r="334" spans="1:14" ht="20" customHeight="1" x14ac:dyDescent="0.35">
      <c r="A334" s="3">
        <v>332</v>
      </c>
      <c r="E334" s="3" t="str">
        <f>IF(data_entry[[#This Row],[تاريخ الشكوي
mm/dd/yyyy]]="","",IF(data_entry[[#This Row],[تاريخ الحل
mm/dd/yyyy]]="","جاري الحل","تم الحل"))</f>
        <v/>
      </c>
      <c r="I334" s="3" t="str">
        <f t="shared" si="5"/>
        <v/>
      </c>
      <c r="J334" s="3" t="str">
        <f>IF(data_entry[[#This Row],[زمن الحل(يوم)]]="", "", IF(data_entry[[#This Row],[زمن الحل(يوم)]]&lt;=3, IF(data_entry[[#This Row],[زمن الحل(يوم)]]&gt;0, "نعم", "لا"), "لا"))</f>
        <v/>
      </c>
      <c r="K33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4" s="11" t="str">
        <f>IF(data_entry[[#This Row],[تاريخ الشكوي
mm/dd/yyyy]]="","",TEXT(data_entry[[#This Row],[تاريخ الشكوي
mm/dd/yyyy]],"mmm-yyyy"))</f>
        <v/>
      </c>
      <c r="M334" s="5" t="str">
        <f>IF(data_entry[[#This Row],[تاريخ الحل
mm/dd/yyyy]]="","",TEXT(data_entry[[#This Row],[تاريخ الحل
mm/dd/yyyy]],"mmm-yyyy"))</f>
        <v/>
      </c>
      <c r="N334" s="21" t="str">
        <f>IF(data_entry[[#This Row],[تاريخ التغذية الراجعة
mm/dd/yyyy]]="","",TEXT(data_entry[[#This Row],[تاريخ التغذية الراجعة
mm/dd/yyyy]],"mmm-yy"))</f>
        <v/>
      </c>
    </row>
    <row r="335" spans="1:14" ht="20" customHeight="1" x14ac:dyDescent="0.35">
      <c r="A335" s="3">
        <v>333</v>
      </c>
      <c r="E335" s="3" t="str">
        <f>IF(data_entry[[#This Row],[تاريخ الشكوي
mm/dd/yyyy]]="","",IF(data_entry[[#This Row],[تاريخ الحل
mm/dd/yyyy]]="","جاري الحل","تم الحل"))</f>
        <v/>
      </c>
      <c r="I335" s="3" t="str">
        <f t="shared" si="5"/>
        <v/>
      </c>
      <c r="J335" s="3" t="str">
        <f>IF(data_entry[[#This Row],[زمن الحل(يوم)]]="", "", IF(data_entry[[#This Row],[زمن الحل(يوم)]]&lt;=3, IF(data_entry[[#This Row],[زمن الحل(يوم)]]&gt;0, "نعم", "لا"), "لا"))</f>
        <v/>
      </c>
      <c r="K33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5" s="11" t="str">
        <f>IF(data_entry[[#This Row],[تاريخ الشكوي
mm/dd/yyyy]]="","",TEXT(data_entry[[#This Row],[تاريخ الشكوي
mm/dd/yyyy]],"mmm-yyyy"))</f>
        <v/>
      </c>
      <c r="M335" s="5" t="str">
        <f>IF(data_entry[[#This Row],[تاريخ الحل
mm/dd/yyyy]]="","",TEXT(data_entry[[#This Row],[تاريخ الحل
mm/dd/yyyy]],"mmm-yyyy"))</f>
        <v/>
      </c>
      <c r="N335" s="21" t="str">
        <f>IF(data_entry[[#This Row],[تاريخ التغذية الراجعة
mm/dd/yyyy]]="","",TEXT(data_entry[[#This Row],[تاريخ التغذية الراجعة
mm/dd/yyyy]],"mmm-yy"))</f>
        <v/>
      </c>
    </row>
    <row r="336" spans="1:14" ht="20" customHeight="1" x14ac:dyDescent="0.35">
      <c r="A336" s="3">
        <v>334</v>
      </c>
      <c r="E336" s="3" t="str">
        <f>IF(data_entry[[#This Row],[تاريخ الشكوي
mm/dd/yyyy]]="","",IF(data_entry[[#This Row],[تاريخ الحل
mm/dd/yyyy]]="","جاري الحل","تم الحل"))</f>
        <v/>
      </c>
      <c r="I336" s="3" t="str">
        <f t="shared" si="5"/>
        <v/>
      </c>
      <c r="J336" s="3" t="str">
        <f>IF(data_entry[[#This Row],[زمن الحل(يوم)]]="", "", IF(data_entry[[#This Row],[زمن الحل(يوم)]]&lt;=3, IF(data_entry[[#This Row],[زمن الحل(يوم)]]&gt;0, "نعم", "لا"), "لا"))</f>
        <v/>
      </c>
      <c r="K33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6" s="11" t="str">
        <f>IF(data_entry[[#This Row],[تاريخ الشكوي
mm/dd/yyyy]]="","",TEXT(data_entry[[#This Row],[تاريخ الشكوي
mm/dd/yyyy]],"mmm-yyyy"))</f>
        <v/>
      </c>
      <c r="M336" s="5" t="str">
        <f>IF(data_entry[[#This Row],[تاريخ الحل
mm/dd/yyyy]]="","",TEXT(data_entry[[#This Row],[تاريخ الحل
mm/dd/yyyy]],"mmm-yyyy"))</f>
        <v/>
      </c>
      <c r="N336" s="21" t="str">
        <f>IF(data_entry[[#This Row],[تاريخ التغذية الراجعة
mm/dd/yyyy]]="","",TEXT(data_entry[[#This Row],[تاريخ التغذية الراجعة
mm/dd/yyyy]],"mmm-yy"))</f>
        <v/>
      </c>
    </row>
    <row r="337" spans="1:14" ht="20" customHeight="1" x14ac:dyDescent="0.35">
      <c r="A337" s="3">
        <v>335</v>
      </c>
      <c r="E337" s="3" t="str">
        <f>IF(data_entry[[#This Row],[تاريخ الشكوي
mm/dd/yyyy]]="","",IF(data_entry[[#This Row],[تاريخ الحل
mm/dd/yyyy]]="","جاري الحل","تم الحل"))</f>
        <v/>
      </c>
      <c r="I337" s="3" t="str">
        <f t="shared" si="5"/>
        <v/>
      </c>
      <c r="J337" s="3" t="str">
        <f>IF(data_entry[[#This Row],[زمن الحل(يوم)]]="", "", IF(data_entry[[#This Row],[زمن الحل(يوم)]]&lt;=3, IF(data_entry[[#This Row],[زمن الحل(يوم)]]&gt;0, "نعم", "لا"), "لا"))</f>
        <v/>
      </c>
      <c r="K33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7" s="11" t="str">
        <f>IF(data_entry[[#This Row],[تاريخ الشكوي
mm/dd/yyyy]]="","",TEXT(data_entry[[#This Row],[تاريخ الشكوي
mm/dd/yyyy]],"mmm-yyyy"))</f>
        <v/>
      </c>
      <c r="M337" s="5" t="str">
        <f>IF(data_entry[[#This Row],[تاريخ الحل
mm/dd/yyyy]]="","",TEXT(data_entry[[#This Row],[تاريخ الحل
mm/dd/yyyy]],"mmm-yyyy"))</f>
        <v/>
      </c>
      <c r="N337" s="21" t="str">
        <f>IF(data_entry[[#This Row],[تاريخ التغذية الراجعة
mm/dd/yyyy]]="","",TEXT(data_entry[[#This Row],[تاريخ التغذية الراجعة
mm/dd/yyyy]],"mmm-yy"))</f>
        <v/>
      </c>
    </row>
    <row r="338" spans="1:14" ht="20" customHeight="1" x14ac:dyDescent="0.35">
      <c r="A338" s="3">
        <v>336</v>
      </c>
      <c r="E338" s="3" t="str">
        <f>IF(data_entry[[#This Row],[تاريخ الشكوي
mm/dd/yyyy]]="","",IF(data_entry[[#This Row],[تاريخ الحل
mm/dd/yyyy]]="","جاري الحل","تم الحل"))</f>
        <v/>
      </c>
      <c r="I338" s="3" t="str">
        <f t="shared" si="5"/>
        <v/>
      </c>
      <c r="J338" s="3" t="str">
        <f>IF(data_entry[[#This Row],[زمن الحل(يوم)]]="", "", IF(data_entry[[#This Row],[زمن الحل(يوم)]]&lt;=3, IF(data_entry[[#This Row],[زمن الحل(يوم)]]&gt;0, "نعم", "لا"), "لا"))</f>
        <v/>
      </c>
      <c r="K33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8" s="11" t="str">
        <f>IF(data_entry[[#This Row],[تاريخ الشكوي
mm/dd/yyyy]]="","",TEXT(data_entry[[#This Row],[تاريخ الشكوي
mm/dd/yyyy]],"mmm-yyyy"))</f>
        <v/>
      </c>
      <c r="M338" s="5" t="str">
        <f>IF(data_entry[[#This Row],[تاريخ الحل
mm/dd/yyyy]]="","",TEXT(data_entry[[#This Row],[تاريخ الحل
mm/dd/yyyy]],"mmm-yyyy"))</f>
        <v/>
      </c>
      <c r="N338" s="21" t="str">
        <f>IF(data_entry[[#This Row],[تاريخ التغذية الراجعة
mm/dd/yyyy]]="","",TEXT(data_entry[[#This Row],[تاريخ التغذية الراجعة
mm/dd/yyyy]],"mmm-yy"))</f>
        <v/>
      </c>
    </row>
    <row r="339" spans="1:14" ht="20" customHeight="1" x14ac:dyDescent="0.35">
      <c r="A339" s="3">
        <v>337</v>
      </c>
      <c r="E339" s="3" t="str">
        <f>IF(data_entry[[#This Row],[تاريخ الشكوي
mm/dd/yyyy]]="","",IF(data_entry[[#This Row],[تاريخ الحل
mm/dd/yyyy]]="","جاري الحل","تم الحل"))</f>
        <v/>
      </c>
      <c r="I339" s="3" t="str">
        <f t="shared" si="5"/>
        <v/>
      </c>
      <c r="J339" s="3" t="str">
        <f>IF(data_entry[[#This Row],[زمن الحل(يوم)]]="", "", IF(data_entry[[#This Row],[زمن الحل(يوم)]]&lt;=3, IF(data_entry[[#This Row],[زمن الحل(يوم)]]&gt;0, "نعم", "لا"), "لا"))</f>
        <v/>
      </c>
      <c r="K33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39" s="11" t="str">
        <f>IF(data_entry[[#This Row],[تاريخ الشكوي
mm/dd/yyyy]]="","",TEXT(data_entry[[#This Row],[تاريخ الشكوي
mm/dd/yyyy]],"mmm-yyyy"))</f>
        <v/>
      </c>
      <c r="M339" s="5" t="str">
        <f>IF(data_entry[[#This Row],[تاريخ الحل
mm/dd/yyyy]]="","",TEXT(data_entry[[#This Row],[تاريخ الحل
mm/dd/yyyy]],"mmm-yyyy"))</f>
        <v/>
      </c>
      <c r="N339" s="21" t="str">
        <f>IF(data_entry[[#This Row],[تاريخ التغذية الراجعة
mm/dd/yyyy]]="","",TEXT(data_entry[[#This Row],[تاريخ التغذية الراجعة
mm/dd/yyyy]],"mmm-yy"))</f>
        <v/>
      </c>
    </row>
    <row r="340" spans="1:14" ht="20" customHeight="1" x14ac:dyDescent="0.35">
      <c r="A340" s="3">
        <v>338</v>
      </c>
      <c r="E340" s="3" t="str">
        <f>IF(data_entry[[#This Row],[تاريخ الشكوي
mm/dd/yyyy]]="","",IF(data_entry[[#This Row],[تاريخ الحل
mm/dd/yyyy]]="","جاري الحل","تم الحل"))</f>
        <v/>
      </c>
      <c r="I340" s="3" t="str">
        <f t="shared" si="5"/>
        <v/>
      </c>
      <c r="J340" s="3" t="str">
        <f>IF(data_entry[[#This Row],[زمن الحل(يوم)]]="", "", IF(data_entry[[#This Row],[زمن الحل(يوم)]]&lt;=3, IF(data_entry[[#This Row],[زمن الحل(يوم)]]&gt;0, "نعم", "لا"), "لا"))</f>
        <v/>
      </c>
      <c r="K34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0" s="11" t="str">
        <f>IF(data_entry[[#This Row],[تاريخ الشكوي
mm/dd/yyyy]]="","",TEXT(data_entry[[#This Row],[تاريخ الشكوي
mm/dd/yyyy]],"mmm-yyyy"))</f>
        <v/>
      </c>
      <c r="M340" s="5" t="str">
        <f>IF(data_entry[[#This Row],[تاريخ الحل
mm/dd/yyyy]]="","",TEXT(data_entry[[#This Row],[تاريخ الحل
mm/dd/yyyy]],"mmm-yyyy"))</f>
        <v/>
      </c>
      <c r="N340" s="21" t="str">
        <f>IF(data_entry[[#This Row],[تاريخ التغذية الراجعة
mm/dd/yyyy]]="","",TEXT(data_entry[[#This Row],[تاريخ التغذية الراجعة
mm/dd/yyyy]],"mmm-yy"))</f>
        <v/>
      </c>
    </row>
    <row r="341" spans="1:14" ht="20" customHeight="1" x14ac:dyDescent="0.35">
      <c r="A341" s="3">
        <v>339</v>
      </c>
      <c r="E341" s="3" t="str">
        <f>IF(data_entry[[#This Row],[تاريخ الشكوي
mm/dd/yyyy]]="","",IF(data_entry[[#This Row],[تاريخ الحل
mm/dd/yyyy]]="","جاري الحل","تم الحل"))</f>
        <v/>
      </c>
      <c r="I341" s="3" t="str">
        <f t="shared" si="5"/>
        <v/>
      </c>
      <c r="J341" s="3" t="str">
        <f>IF(data_entry[[#This Row],[زمن الحل(يوم)]]="", "", IF(data_entry[[#This Row],[زمن الحل(يوم)]]&lt;=3, IF(data_entry[[#This Row],[زمن الحل(يوم)]]&gt;0, "نعم", "لا"), "لا"))</f>
        <v/>
      </c>
      <c r="K34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1" s="11" t="str">
        <f>IF(data_entry[[#This Row],[تاريخ الشكوي
mm/dd/yyyy]]="","",TEXT(data_entry[[#This Row],[تاريخ الشكوي
mm/dd/yyyy]],"mmm-yyyy"))</f>
        <v/>
      </c>
      <c r="M341" s="5" t="str">
        <f>IF(data_entry[[#This Row],[تاريخ الحل
mm/dd/yyyy]]="","",TEXT(data_entry[[#This Row],[تاريخ الحل
mm/dd/yyyy]],"mmm-yyyy"))</f>
        <v/>
      </c>
      <c r="N341" s="21" t="str">
        <f>IF(data_entry[[#This Row],[تاريخ التغذية الراجعة
mm/dd/yyyy]]="","",TEXT(data_entry[[#This Row],[تاريخ التغذية الراجعة
mm/dd/yyyy]],"mmm-yy"))</f>
        <v/>
      </c>
    </row>
    <row r="342" spans="1:14" ht="20" customHeight="1" x14ac:dyDescent="0.35">
      <c r="A342" s="3">
        <v>340</v>
      </c>
      <c r="E342" s="3" t="str">
        <f>IF(data_entry[[#This Row],[تاريخ الشكوي
mm/dd/yyyy]]="","",IF(data_entry[[#This Row],[تاريخ الحل
mm/dd/yyyy]]="","جاري الحل","تم الحل"))</f>
        <v/>
      </c>
      <c r="I342" s="3" t="str">
        <f t="shared" si="5"/>
        <v/>
      </c>
      <c r="J342" s="3" t="str">
        <f>IF(data_entry[[#This Row],[زمن الحل(يوم)]]="", "", IF(data_entry[[#This Row],[زمن الحل(يوم)]]&lt;=3, IF(data_entry[[#This Row],[زمن الحل(يوم)]]&gt;0, "نعم", "لا"), "لا"))</f>
        <v/>
      </c>
      <c r="K34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2" s="11" t="str">
        <f>IF(data_entry[[#This Row],[تاريخ الشكوي
mm/dd/yyyy]]="","",TEXT(data_entry[[#This Row],[تاريخ الشكوي
mm/dd/yyyy]],"mmm-yyyy"))</f>
        <v/>
      </c>
      <c r="M342" s="5" t="str">
        <f>IF(data_entry[[#This Row],[تاريخ الحل
mm/dd/yyyy]]="","",TEXT(data_entry[[#This Row],[تاريخ الحل
mm/dd/yyyy]],"mmm-yyyy"))</f>
        <v/>
      </c>
      <c r="N342" s="21" t="str">
        <f>IF(data_entry[[#This Row],[تاريخ التغذية الراجعة
mm/dd/yyyy]]="","",TEXT(data_entry[[#This Row],[تاريخ التغذية الراجعة
mm/dd/yyyy]],"mmm-yy"))</f>
        <v/>
      </c>
    </row>
    <row r="343" spans="1:14" ht="20" customHeight="1" x14ac:dyDescent="0.35">
      <c r="A343" s="3">
        <v>341</v>
      </c>
      <c r="E343" s="3" t="str">
        <f>IF(data_entry[[#This Row],[تاريخ الشكوي
mm/dd/yyyy]]="","",IF(data_entry[[#This Row],[تاريخ الحل
mm/dd/yyyy]]="","جاري الحل","تم الحل"))</f>
        <v/>
      </c>
      <c r="I343" s="3" t="str">
        <f t="shared" si="5"/>
        <v/>
      </c>
      <c r="J343" s="3" t="str">
        <f>IF(data_entry[[#This Row],[زمن الحل(يوم)]]="", "", IF(data_entry[[#This Row],[زمن الحل(يوم)]]&lt;=3, IF(data_entry[[#This Row],[زمن الحل(يوم)]]&gt;0, "نعم", "لا"), "لا"))</f>
        <v/>
      </c>
      <c r="K343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3" s="11" t="str">
        <f>IF(data_entry[[#This Row],[تاريخ الشكوي
mm/dd/yyyy]]="","",TEXT(data_entry[[#This Row],[تاريخ الشكوي
mm/dd/yyyy]],"mmm-yyyy"))</f>
        <v/>
      </c>
      <c r="M343" s="5" t="str">
        <f>IF(data_entry[[#This Row],[تاريخ الحل
mm/dd/yyyy]]="","",TEXT(data_entry[[#This Row],[تاريخ الحل
mm/dd/yyyy]],"mmm-yyyy"))</f>
        <v/>
      </c>
      <c r="N343" s="21" t="str">
        <f>IF(data_entry[[#This Row],[تاريخ التغذية الراجعة
mm/dd/yyyy]]="","",TEXT(data_entry[[#This Row],[تاريخ التغذية الراجعة
mm/dd/yyyy]],"mmm-yy"))</f>
        <v/>
      </c>
    </row>
    <row r="344" spans="1:14" ht="20" customHeight="1" x14ac:dyDescent="0.35">
      <c r="A344" s="3">
        <v>342</v>
      </c>
      <c r="E344" s="3" t="str">
        <f>IF(data_entry[[#This Row],[تاريخ الشكوي
mm/dd/yyyy]]="","",IF(data_entry[[#This Row],[تاريخ الحل
mm/dd/yyyy]]="","جاري الحل","تم الحل"))</f>
        <v/>
      </c>
      <c r="I344" s="3" t="str">
        <f t="shared" si="5"/>
        <v/>
      </c>
      <c r="J344" s="3" t="str">
        <f>IF(data_entry[[#This Row],[زمن الحل(يوم)]]="", "", IF(data_entry[[#This Row],[زمن الحل(يوم)]]&lt;=3, IF(data_entry[[#This Row],[زمن الحل(يوم)]]&gt;0, "نعم", "لا"), "لا"))</f>
        <v/>
      </c>
      <c r="K344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4" s="11" t="str">
        <f>IF(data_entry[[#This Row],[تاريخ الشكوي
mm/dd/yyyy]]="","",TEXT(data_entry[[#This Row],[تاريخ الشكوي
mm/dd/yyyy]],"mmm-yyyy"))</f>
        <v/>
      </c>
      <c r="M344" s="5" t="str">
        <f>IF(data_entry[[#This Row],[تاريخ الحل
mm/dd/yyyy]]="","",TEXT(data_entry[[#This Row],[تاريخ الحل
mm/dd/yyyy]],"mmm-yyyy"))</f>
        <v/>
      </c>
      <c r="N344" s="21" t="str">
        <f>IF(data_entry[[#This Row],[تاريخ التغذية الراجعة
mm/dd/yyyy]]="","",TEXT(data_entry[[#This Row],[تاريخ التغذية الراجعة
mm/dd/yyyy]],"mmm-yy"))</f>
        <v/>
      </c>
    </row>
    <row r="345" spans="1:14" ht="20" customHeight="1" x14ac:dyDescent="0.35">
      <c r="A345" s="3">
        <v>343</v>
      </c>
      <c r="E345" s="3" t="str">
        <f>IF(data_entry[[#This Row],[تاريخ الشكوي
mm/dd/yyyy]]="","",IF(data_entry[[#This Row],[تاريخ الحل
mm/dd/yyyy]]="","جاري الحل","تم الحل"))</f>
        <v/>
      </c>
      <c r="I345" s="3" t="str">
        <f t="shared" si="5"/>
        <v/>
      </c>
      <c r="J345" s="3" t="str">
        <f>IF(data_entry[[#This Row],[زمن الحل(يوم)]]="", "", IF(data_entry[[#This Row],[زمن الحل(يوم)]]&lt;=3, IF(data_entry[[#This Row],[زمن الحل(يوم)]]&gt;0, "نعم", "لا"), "لا"))</f>
        <v/>
      </c>
      <c r="K345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5" s="11" t="str">
        <f>IF(data_entry[[#This Row],[تاريخ الشكوي
mm/dd/yyyy]]="","",TEXT(data_entry[[#This Row],[تاريخ الشكوي
mm/dd/yyyy]],"mmm-yyyy"))</f>
        <v/>
      </c>
      <c r="M345" s="5" t="str">
        <f>IF(data_entry[[#This Row],[تاريخ الحل
mm/dd/yyyy]]="","",TEXT(data_entry[[#This Row],[تاريخ الحل
mm/dd/yyyy]],"mmm-yyyy"))</f>
        <v/>
      </c>
      <c r="N345" s="21" t="str">
        <f>IF(data_entry[[#This Row],[تاريخ التغذية الراجعة
mm/dd/yyyy]]="","",TEXT(data_entry[[#This Row],[تاريخ التغذية الراجعة
mm/dd/yyyy]],"mmm-yy"))</f>
        <v/>
      </c>
    </row>
    <row r="346" spans="1:14" ht="20" customHeight="1" x14ac:dyDescent="0.35">
      <c r="A346" s="3">
        <v>344</v>
      </c>
      <c r="E346" s="3" t="str">
        <f>IF(data_entry[[#This Row],[تاريخ الشكوي
mm/dd/yyyy]]="","",IF(data_entry[[#This Row],[تاريخ الحل
mm/dd/yyyy]]="","جاري الحل","تم الحل"))</f>
        <v/>
      </c>
      <c r="I346" s="3" t="str">
        <f t="shared" si="5"/>
        <v/>
      </c>
      <c r="J346" s="3" t="str">
        <f>IF(data_entry[[#This Row],[زمن الحل(يوم)]]="", "", IF(data_entry[[#This Row],[زمن الحل(يوم)]]&lt;=3, IF(data_entry[[#This Row],[زمن الحل(يوم)]]&gt;0, "نعم", "لا"), "لا"))</f>
        <v/>
      </c>
      <c r="K346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6" s="11" t="str">
        <f>IF(data_entry[[#This Row],[تاريخ الشكوي
mm/dd/yyyy]]="","",TEXT(data_entry[[#This Row],[تاريخ الشكوي
mm/dd/yyyy]],"mmm-yyyy"))</f>
        <v/>
      </c>
      <c r="M346" s="5" t="str">
        <f>IF(data_entry[[#This Row],[تاريخ الحل
mm/dd/yyyy]]="","",TEXT(data_entry[[#This Row],[تاريخ الحل
mm/dd/yyyy]],"mmm-yyyy"))</f>
        <v/>
      </c>
      <c r="N346" s="21" t="str">
        <f>IF(data_entry[[#This Row],[تاريخ التغذية الراجعة
mm/dd/yyyy]]="","",TEXT(data_entry[[#This Row],[تاريخ التغذية الراجعة
mm/dd/yyyy]],"mmm-yy"))</f>
        <v/>
      </c>
    </row>
    <row r="347" spans="1:14" ht="20" customHeight="1" x14ac:dyDescent="0.35">
      <c r="A347" s="3">
        <v>345</v>
      </c>
      <c r="E347" s="3" t="str">
        <f>IF(data_entry[[#This Row],[تاريخ الشكوي
mm/dd/yyyy]]="","",IF(data_entry[[#This Row],[تاريخ الحل
mm/dd/yyyy]]="","جاري الحل","تم الحل"))</f>
        <v/>
      </c>
      <c r="I347" s="3" t="str">
        <f t="shared" si="5"/>
        <v/>
      </c>
      <c r="J347" s="3" t="str">
        <f>IF(data_entry[[#This Row],[زمن الحل(يوم)]]="", "", IF(data_entry[[#This Row],[زمن الحل(يوم)]]&lt;=3, IF(data_entry[[#This Row],[زمن الحل(يوم)]]&gt;0, "نعم", "لا"), "لا"))</f>
        <v/>
      </c>
      <c r="K347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7" s="11" t="str">
        <f>IF(data_entry[[#This Row],[تاريخ الشكوي
mm/dd/yyyy]]="","",TEXT(data_entry[[#This Row],[تاريخ الشكوي
mm/dd/yyyy]],"mmm-yyyy"))</f>
        <v/>
      </c>
      <c r="M347" s="5" t="str">
        <f>IF(data_entry[[#This Row],[تاريخ الحل
mm/dd/yyyy]]="","",TEXT(data_entry[[#This Row],[تاريخ الحل
mm/dd/yyyy]],"mmm-yyyy"))</f>
        <v/>
      </c>
      <c r="N347" s="21" t="str">
        <f>IF(data_entry[[#This Row],[تاريخ التغذية الراجعة
mm/dd/yyyy]]="","",TEXT(data_entry[[#This Row],[تاريخ التغذية الراجعة
mm/dd/yyyy]],"mmm-yy"))</f>
        <v/>
      </c>
    </row>
    <row r="348" spans="1:14" ht="20" customHeight="1" x14ac:dyDescent="0.35">
      <c r="A348" s="3">
        <v>346</v>
      </c>
      <c r="E348" s="3" t="str">
        <f>IF(data_entry[[#This Row],[تاريخ الشكوي
mm/dd/yyyy]]="","",IF(data_entry[[#This Row],[تاريخ الحل
mm/dd/yyyy]]="","جاري الحل","تم الحل"))</f>
        <v/>
      </c>
      <c r="I348" s="3" t="str">
        <f t="shared" si="5"/>
        <v/>
      </c>
      <c r="J348" s="3" t="str">
        <f>IF(data_entry[[#This Row],[زمن الحل(يوم)]]="", "", IF(data_entry[[#This Row],[زمن الحل(يوم)]]&lt;=3, IF(data_entry[[#This Row],[زمن الحل(يوم)]]&gt;0, "نعم", "لا"), "لا"))</f>
        <v/>
      </c>
      <c r="K348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8" s="11" t="str">
        <f>IF(data_entry[[#This Row],[تاريخ الشكوي
mm/dd/yyyy]]="","",TEXT(data_entry[[#This Row],[تاريخ الشكوي
mm/dd/yyyy]],"mmm-yyyy"))</f>
        <v/>
      </c>
      <c r="M348" s="5" t="str">
        <f>IF(data_entry[[#This Row],[تاريخ الحل
mm/dd/yyyy]]="","",TEXT(data_entry[[#This Row],[تاريخ الحل
mm/dd/yyyy]],"mmm-yyyy"))</f>
        <v/>
      </c>
      <c r="N348" s="21" t="str">
        <f>IF(data_entry[[#This Row],[تاريخ التغذية الراجعة
mm/dd/yyyy]]="","",TEXT(data_entry[[#This Row],[تاريخ التغذية الراجعة
mm/dd/yyyy]],"mmm-yy"))</f>
        <v/>
      </c>
    </row>
    <row r="349" spans="1:14" ht="20" customHeight="1" x14ac:dyDescent="0.35">
      <c r="A349" s="3">
        <v>347</v>
      </c>
      <c r="E349" s="3" t="str">
        <f>IF(data_entry[[#This Row],[تاريخ الشكوي
mm/dd/yyyy]]="","",IF(data_entry[[#This Row],[تاريخ الحل
mm/dd/yyyy]]="","جاري الحل","تم الحل"))</f>
        <v/>
      </c>
      <c r="I349" s="3" t="str">
        <f t="shared" si="5"/>
        <v/>
      </c>
      <c r="J349" s="3" t="str">
        <f>IF(data_entry[[#This Row],[زمن الحل(يوم)]]="", "", IF(data_entry[[#This Row],[زمن الحل(يوم)]]&lt;=3, IF(data_entry[[#This Row],[زمن الحل(يوم)]]&gt;0, "نعم", "لا"), "لا"))</f>
        <v/>
      </c>
      <c r="K349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49" s="11" t="str">
        <f>IF(data_entry[[#This Row],[تاريخ الشكوي
mm/dd/yyyy]]="","",TEXT(data_entry[[#This Row],[تاريخ الشكوي
mm/dd/yyyy]],"mmm-yyyy"))</f>
        <v/>
      </c>
      <c r="M349" s="5" t="str">
        <f>IF(data_entry[[#This Row],[تاريخ الحل
mm/dd/yyyy]]="","",TEXT(data_entry[[#This Row],[تاريخ الحل
mm/dd/yyyy]],"mmm-yyyy"))</f>
        <v/>
      </c>
      <c r="N349" s="21" t="str">
        <f>IF(data_entry[[#This Row],[تاريخ التغذية الراجعة
mm/dd/yyyy]]="","",TEXT(data_entry[[#This Row],[تاريخ التغذية الراجعة
mm/dd/yyyy]],"mmm-yy"))</f>
        <v/>
      </c>
    </row>
    <row r="350" spans="1:14" ht="20" customHeight="1" x14ac:dyDescent="0.35">
      <c r="A350" s="3">
        <v>348</v>
      </c>
      <c r="E350" s="3" t="str">
        <f>IF(data_entry[[#This Row],[تاريخ الشكوي
mm/dd/yyyy]]="","",IF(data_entry[[#This Row],[تاريخ الحل
mm/dd/yyyy]]="","جاري الحل","تم الحل"))</f>
        <v/>
      </c>
      <c r="I350" s="3" t="str">
        <f t="shared" si="5"/>
        <v/>
      </c>
      <c r="J350" s="3" t="str">
        <f>IF(data_entry[[#This Row],[زمن الحل(يوم)]]="", "", IF(data_entry[[#This Row],[زمن الحل(يوم)]]&lt;=3, IF(data_entry[[#This Row],[زمن الحل(يوم)]]&gt;0, "نعم", "لا"), "لا"))</f>
        <v/>
      </c>
      <c r="K350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0" s="11" t="str">
        <f>IF(data_entry[[#This Row],[تاريخ الشكوي
mm/dd/yyyy]]="","",TEXT(data_entry[[#This Row],[تاريخ الشكوي
mm/dd/yyyy]],"mmm-yyyy"))</f>
        <v/>
      </c>
      <c r="M350" s="5" t="str">
        <f>IF(data_entry[[#This Row],[تاريخ الحل
mm/dd/yyyy]]="","",TEXT(data_entry[[#This Row],[تاريخ الحل
mm/dd/yyyy]],"mmm-yyyy"))</f>
        <v/>
      </c>
      <c r="N350" s="21" t="str">
        <f>IF(data_entry[[#This Row],[تاريخ التغذية الراجعة
mm/dd/yyyy]]="","",TEXT(data_entry[[#This Row],[تاريخ التغذية الراجعة
mm/dd/yyyy]],"mmm-yy"))</f>
        <v/>
      </c>
    </row>
    <row r="351" spans="1:14" ht="20" customHeight="1" x14ac:dyDescent="0.35">
      <c r="A351" s="3">
        <v>349</v>
      </c>
      <c r="E351" s="3" t="str">
        <f>IF(data_entry[[#This Row],[تاريخ الشكوي
mm/dd/yyyy]]="","",IF(data_entry[[#This Row],[تاريخ الحل
mm/dd/yyyy]]="","جاري الحل","تم الحل"))</f>
        <v/>
      </c>
      <c r="I351" s="3" t="str">
        <f t="shared" si="5"/>
        <v/>
      </c>
      <c r="J351" s="3" t="str">
        <f>IF(data_entry[[#This Row],[زمن الحل(يوم)]]="", "", IF(data_entry[[#This Row],[زمن الحل(يوم)]]&lt;=3, IF(data_entry[[#This Row],[زمن الحل(يوم)]]&gt;0, "نعم", "لا"), "لا"))</f>
        <v/>
      </c>
      <c r="K351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1" s="11" t="str">
        <f>IF(data_entry[[#This Row],[تاريخ الشكوي
mm/dd/yyyy]]="","",TEXT(data_entry[[#This Row],[تاريخ الشكوي
mm/dd/yyyy]],"mmm-yyyy"))</f>
        <v/>
      </c>
      <c r="M351" s="5" t="str">
        <f>IF(data_entry[[#This Row],[تاريخ الحل
mm/dd/yyyy]]="","",TEXT(data_entry[[#This Row],[تاريخ الحل
mm/dd/yyyy]],"mmm-yyyy"))</f>
        <v/>
      </c>
      <c r="N351" s="21" t="str">
        <f>IF(data_entry[[#This Row],[تاريخ التغذية الراجعة
mm/dd/yyyy]]="","",TEXT(data_entry[[#This Row],[تاريخ التغذية الراجعة
mm/dd/yyyy]],"mmm-yy"))</f>
        <v/>
      </c>
    </row>
    <row r="352" spans="1:14" ht="20" customHeight="1" x14ac:dyDescent="0.35">
      <c r="A352" s="3">
        <v>350</v>
      </c>
      <c r="E352" s="3" t="str">
        <f>IF(data_entry[[#This Row],[تاريخ الشكوي
mm/dd/yyyy]]="","",IF(data_entry[[#This Row],[تاريخ الحل
mm/dd/yyyy]]="","جاري الحل","تم الحل"))</f>
        <v/>
      </c>
      <c r="I352" s="3" t="str">
        <f t="shared" si="5"/>
        <v/>
      </c>
      <c r="J352" s="3" t="str">
        <f>IF(data_entry[[#This Row],[زمن الحل(يوم)]]="", "", IF(data_entry[[#This Row],[زمن الحل(يوم)]]&lt;=3, IF(data_entry[[#This Row],[زمن الحل(يوم)]]&gt;0, "نعم", "لا"), "لا"))</f>
        <v/>
      </c>
      <c r="K352" s="5" t="str">
        <f>IF(OR(data_entry[[#This Row],[تاريخ الشكوي
mm/dd/yyyy]]="",data_entry[[#This Row],[تاريخ الحل
mm/dd/yyyy]]=""),"",data_entry[[#This Row],[تاريخ الحل
mm/dd/yyyy]]-data_entry[[#This Row],[تاريخ الشكوي
mm/dd/yyyy]])</f>
        <v/>
      </c>
      <c r="L352" s="11" t="str">
        <f>IF(data_entry[[#This Row],[تاريخ الشكوي
mm/dd/yyyy]]="","",TEXT(data_entry[[#This Row],[تاريخ الشكوي
mm/dd/yyyy]],"mmm-yyyy"))</f>
        <v/>
      </c>
      <c r="M352" s="5" t="str">
        <f>IF(data_entry[[#This Row],[تاريخ الحل
mm/dd/yyyy]]="","",TEXT(data_entry[[#This Row],[تاريخ الحل
mm/dd/yyyy]],"mmm-yyyy"))</f>
        <v/>
      </c>
      <c r="N352" s="21" t="str">
        <f>IF(data_entry[[#This Row],[تاريخ التغذية الراجعة
mm/dd/yyyy]]="","",TEXT(data_entry[[#This Row],[تاريخ التغذية الراجعة
mm/dd/yyyy]],"mmm-yy"))</f>
        <v/>
      </c>
    </row>
  </sheetData>
  <sheetProtection algorithmName="SHA-512" hashValue="iXlLpTFMpDleffwzSw6ULuJ6I90IsQMtLfnPxzHZfRRGDgJnFQpl2DulmOsh5u+ljLTP01Kgzxl8BAURZLgC4g==" saltValue="O0IASXd/SRR3ogIMg4rxoA==" spinCount="100000" sheet="1" objects="1" scenarios="1"/>
  <mergeCells count="1">
    <mergeCell ref="A1:Q1"/>
  </mergeCells>
  <dataValidations count="2">
    <dataValidation type="list" allowBlank="1" showInputMessage="1" showErrorMessage="1" sqref="C3:C352">
      <formula1>$O$4:$O$17</formula1>
    </dataValidation>
    <dataValidation type="list" allowBlank="1" showInputMessage="1" showErrorMessage="1" sqref="G3:G352">
      <formula1>$P$4:$P$6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7"/>
  <sheetViews>
    <sheetView rightToLeft="1" workbookViewId="0">
      <selection activeCell="F5" sqref="F5"/>
    </sheetView>
  </sheetViews>
  <sheetFormatPr defaultRowHeight="14.5" x14ac:dyDescent="0.35"/>
  <cols>
    <col min="1" max="1" width="4" style="4" customWidth="1"/>
    <col min="2" max="2" width="40.81640625" style="4" bestFit="1" customWidth="1"/>
    <col min="3" max="3" width="11.1796875" style="4" customWidth="1"/>
    <col min="4" max="4" width="8.7265625" style="4" customWidth="1"/>
    <col min="5" max="5" width="9.1796875" style="4" customWidth="1"/>
    <col min="6" max="6" width="10.36328125" style="4" customWidth="1"/>
    <col min="7" max="7" width="9.36328125" style="4" customWidth="1"/>
    <col min="8" max="8" width="8.54296875" style="4" customWidth="1"/>
    <col min="9" max="9" width="10.90625" style="4" customWidth="1"/>
    <col min="10" max="10" width="8.90625" style="4" customWidth="1"/>
    <col min="11" max="11" width="8.7265625" style="4" customWidth="1"/>
    <col min="12" max="12" width="9.7265625" style="4" customWidth="1"/>
    <col min="13" max="13" width="9" style="4" customWidth="1"/>
    <col min="14" max="14" width="8.81640625" style="4" customWidth="1"/>
    <col min="15" max="16384" width="8.7265625" style="4"/>
  </cols>
  <sheetData>
    <row r="1" spans="1:14" customFormat="1" ht="34.5" customHeight="1" thickBot="1" x14ac:dyDescent="0.4">
      <c r="A1" s="191" t="s">
        <v>207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</row>
    <row r="3" spans="1:14" customFormat="1" ht="30" customHeight="1" x14ac:dyDescent="0.35">
      <c r="A3" s="60" t="s">
        <v>0</v>
      </c>
      <c r="B3" s="60" t="s">
        <v>38</v>
      </c>
      <c r="C3" s="60" t="s">
        <v>39</v>
      </c>
      <c r="D3" s="60" t="s">
        <v>40</v>
      </c>
      <c r="E3" s="60" t="s">
        <v>41</v>
      </c>
      <c r="F3" s="60" t="s">
        <v>42</v>
      </c>
      <c r="G3" s="60" t="s">
        <v>43</v>
      </c>
      <c r="H3" s="60" t="s">
        <v>44</v>
      </c>
      <c r="I3" s="60" t="s">
        <v>45</v>
      </c>
      <c r="J3" s="60" t="s">
        <v>46</v>
      </c>
      <c r="K3" s="60" t="s">
        <v>47</v>
      </c>
      <c r="L3" s="60" t="s">
        <v>48</v>
      </c>
      <c r="M3" s="60" t="s">
        <v>49</v>
      </c>
      <c r="N3" s="60" t="s">
        <v>50</v>
      </c>
    </row>
    <row r="4" spans="1:14" s="64" customFormat="1" ht="25" customHeight="1" x14ac:dyDescent="0.35">
      <c r="A4" s="65">
        <v>1</v>
      </c>
      <c r="B4" s="64" t="s">
        <v>67</v>
      </c>
      <c r="C4" s="190">
        <v>12</v>
      </c>
      <c r="D4" s="63"/>
      <c r="E4" s="63"/>
      <c r="F4" s="190">
        <v>12</v>
      </c>
      <c r="G4" s="63"/>
      <c r="H4" s="63"/>
      <c r="I4" s="190"/>
      <c r="J4" s="63"/>
      <c r="K4" s="63"/>
      <c r="L4" s="190"/>
      <c r="M4" s="63"/>
      <c r="N4" s="63"/>
    </row>
    <row r="5" spans="1:14" s="64" customFormat="1" ht="25" customHeight="1" x14ac:dyDescent="0.35">
      <c r="A5" s="65">
        <v>2</v>
      </c>
      <c r="B5" s="64" t="s">
        <v>66</v>
      </c>
      <c r="C5" s="190">
        <v>20</v>
      </c>
      <c r="D5" s="63"/>
      <c r="E5" s="63"/>
      <c r="F5" s="190">
        <v>25</v>
      </c>
      <c r="G5" s="63"/>
      <c r="H5" s="63"/>
      <c r="I5" s="190"/>
      <c r="J5" s="63"/>
      <c r="K5" s="63"/>
      <c r="L5" s="190"/>
      <c r="M5" s="63"/>
      <c r="N5" s="63"/>
    </row>
    <row r="6" spans="1:14" s="64" customFormat="1" ht="25" customHeight="1" x14ac:dyDescent="0.35">
      <c r="A6" s="65">
        <v>3</v>
      </c>
      <c r="B6" s="64" t="s">
        <v>70</v>
      </c>
      <c r="C6" s="190">
        <v>60</v>
      </c>
      <c r="D6" s="63"/>
      <c r="E6" s="63"/>
      <c r="F6" s="190">
        <v>65</v>
      </c>
      <c r="G6" s="63"/>
      <c r="H6" s="63"/>
      <c r="I6" s="190"/>
      <c r="J6" s="63"/>
      <c r="K6" s="63"/>
      <c r="L6" s="190"/>
      <c r="M6" s="63"/>
      <c r="N6" s="63"/>
    </row>
    <row r="7" spans="1:14" s="64" customFormat="1" ht="25" customHeight="1" x14ac:dyDescent="0.35">
      <c r="A7" s="65">
        <v>4</v>
      </c>
      <c r="B7" s="64" t="s">
        <v>71</v>
      </c>
      <c r="C7" s="190">
        <v>6</v>
      </c>
      <c r="D7" s="63"/>
      <c r="E7" s="63"/>
      <c r="F7" s="190">
        <v>6</v>
      </c>
      <c r="G7" s="63"/>
      <c r="H7" s="63"/>
      <c r="I7" s="190"/>
      <c r="J7" s="63"/>
      <c r="K7" s="63"/>
      <c r="L7" s="190"/>
      <c r="M7" s="63"/>
      <c r="N7" s="63"/>
    </row>
    <row r="8" spans="1:14" s="64" customFormat="1" ht="25" customHeight="1" x14ac:dyDescent="0.35">
      <c r="A8" s="65">
        <v>5</v>
      </c>
      <c r="B8" s="64" t="s">
        <v>72</v>
      </c>
      <c r="C8" s="190">
        <v>15</v>
      </c>
      <c r="D8" s="63"/>
      <c r="E8" s="63"/>
      <c r="F8" s="190">
        <v>15</v>
      </c>
      <c r="G8" s="63"/>
      <c r="H8" s="63"/>
      <c r="I8" s="190"/>
      <c r="J8" s="63"/>
      <c r="K8" s="63"/>
      <c r="L8" s="190"/>
      <c r="M8" s="63"/>
      <c r="N8" s="63"/>
    </row>
    <row r="9" spans="1:14" s="64" customFormat="1" ht="25" customHeight="1" x14ac:dyDescent="0.35">
      <c r="A9" s="65">
        <v>6</v>
      </c>
      <c r="B9" s="64" t="s">
        <v>68</v>
      </c>
      <c r="C9" s="190">
        <v>12</v>
      </c>
      <c r="D9" s="63"/>
      <c r="E9" s="63"/>
      <c r="F9" s="190">
        <v>12</v>
      </c>
      <c r="G9" s="63"/>
      <c r="H9" s="63"/>
      <c r="I9" s="190"/>
      <c r="J9" s="63"/>
      <c r="K9" s="63"/>
      <c r="L9" s="190"/>
      <c r="M9" s="63"/>
      <c r="N9" s="63"/>
    </row>
    <row r="10" spans="1:14" customFormat="1" x14ac:dyDescent="0.35"/>
    <row r="11" spans="1:14" customFormat="1" x14ac:dyDescent="0.35"/>
    <row r="12" spans="1:14" customFormat="1" x14ac:dyDescent="0.35"/>
    <row r="13" spans="1:14" customFormat="1" x14ac:dyDescent="0.35"/>
    <row r="14" spans="1:14" customFormat="1" x14ac:dyDescent="0.35"/>
    <row r="15" spans="1:14" customFormat="1" x14ac:dyDescent="0.35"/>
    <row r="16" spans="1:14" customFormat="1" x14ac:dyDescent="0.35"/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  <row r="22" customFormat="1" x14ac:dyDescent="0.35"/>
    <row r="23" customFormat="1" x14ac:dyDescent="0.35"/>
    <row r="24" customFormat="1" x14ac:dyDescent="0.35"/>
    <row r="25" customFormat="1" x14ac:dyDescent="0.35"/>
    <row r="26" customFormat="1" x14ac:dyDescent="0.35"/>
    <row r="27" customFormat="1" x14ac:dyDescent="0.35"/>
  </sheetData>
  <sheetProtection algorithmName="SHA-512" hashValue="3D5IpHWbdfza+TA2u32sd6vsidmMgVyfgMj39s/3uLYyUWDLeK/GtmzWCWSAvp0duqOuM+fO4w82D9F2op1xig==" saltValue="5EAG+NajIPHi5dP97p9pGg==" spinCount="100000" sheet="1" objects="1" scenarios="1"/>
  <mergeCells count="1">
    <mergeCell ref="A1:N1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204"/>
  <sheetViews>
    <sheetView rightToLeft="1" topLeftCell="D1" zoomScaleNormal="100" workbookViewId="0">
      <selection activeCell="I6" sqref="I6"/>
    </sheetView>
  </sheetViews>
  <sheetFormatPr defaultRowHeight="14.5" x14ac:dyDescent="0.35"/>
  <cols>
    <col min="1" max="1" width="3.81640625" style="4" bestFit="1" customWidth="1"/>
    <col min="2" max="2" width="22.08984375" style="2" customWidth="1"/>
    <col min="3" max="3" width="16.81640625" style="46" customWidth="1"/>
    <col min="4" max="4" width="22.08984375" style="47" customWidth="1"/>
    <col min="5" max="5" width="21.54296875" style="2" customWidth="1"/>
    <col min="6" max="6" width="20.54296875" style="22" customWidth="1"/>
    <col min="7" max="7" width="14.6328125" style="22" customWidth="1"/>
    <col min="8" max="8" width="31.08984375" style="22" customWidth="1"/>
    <col min="9" max="9" width="24.90625" style="4" customWidth="1"/>
    <col min="10" max="10" width="20.6328125" style="48" customWidth="1"/>
    <col min="11" max="11" width="15" style="22" customWidth="1"/>
    <col min="12" max="12" width="16.453125" style="4" customWidth="1"/>
    <col min="13" max="13" width="32.453125" style="2" customWidth="1"/>
    <col min="14" max="14" width="24" style="2" customWidth="1"/>
    <col min="15" max="15" width="17.26953125" style="4" customWidth="1"/>
    <col min="16" max="16" width="10.26953125" style="2" customWidth="1"/>
    <col min="17" max="17" width="13.453125" style="2" hidden="1" customWidth="1"/>
    <col min="18" max="21" width="8.7265625" style="2" hidden="1" customWidth="1"/>
    <col min="22" max="22" width="0" style="2" hidden="1" customWidth="1"/>
    <col min="23" max="16384" width="8.7265625" style="2"/>
  </cols>
  <sheetData>
    <row r="1" spans="1:22" customFormat="1" ht="34.5" customHeight="1" thickBot="1" x14ac:dyDescent="0.4">
      <c r="A1" s="201" t="s">
        <v>208</v>
      </c>
      <c r="B1" s="201"/>
      <c r="C1" s="201"/>
      <c r="D1" s="201"/>
      <c r="E1" s="201"/>
      <c r="F1" s="201"/>
      <c r="G1" s="201"/>
      <c r="H1" s="201"/>
      <c r="I1" s="201"/>
      <c r="J1" s="201"/>
      <c r="K1" s="201"/>
      <c r="L1" s="201"/>
      <c r="M1" s="201"/>
      <c r="N1" s="201"/>
      <c r="O1" s="201"/>
      <c r="P1" s="201"/>
    </row>
    <row r="2" spans="1:22" customFormat="1" ht="21.75" customHeight="1" x14ac:dyDescent="0.35">
      <c r="A2" s="202" t="s">
        <v>209</v>
      </c>
      <c r="B2" s="202"/>
      <c r="C2" s="202"/>
      <c r="D2" s="202"/>
      <c r="E2" s="202"/>
      <c r="F2" s="202"/>
      <c r="G2" s="202"/>
      <c r="H2" s="202"/>
      <c r="I2" s="202"/>
      <c r="J2" s="202"/>
      <c r="K2" s="202"/>
      <c r="L2" s="202"/>
      <c r="M2" s="202"/>
      <c r="N2" s="202"/>
      <c r="O2" s="202"/>
      <c r="P2" s="202"/>
    </row>
    <row r="4" spans="1:22" customFormat="1" ht="39.75" customHeight="1" x14ac:dyDescent="0.35">
      <c r="A4" s="66" t="s">
        <v>0</v>
      </c>
      <c r="B4" s="66" t="s">
        <v>75</v>
      </c>
      <c r="C4" s="66" t="s">
        <v>76</v>
      </c>
      <c r="D4" s="136" t="s">
        <v>217</v>
      </c>
      <c r="E4" s="66" t="s">
        <v>77</v>
      </c>
      <c r="F4" s="66" t="s">
        <v>78</v>
      </c>
      <c r="G4" s="66" t="s">
        <v>79</v>
      </c>
      <c r="H4" s="66" t="s">
        <v>80</v>
      </c>
      <c r="I4" s="66" t="s">
        <v>81</v>
      </c>
      <c r="J4" s="66" t="s">
        <v>98</v>
      </c>
      <c r="K4" s="66" t="s">
        <v>97</v>
      </c>
      <c r="L4" s="66" t="s">
        <v>82</v>
      </c>
      <c r="M4" s="66" t="s">
        <v>95</v>
      </c>
      <c r="N4" s="66" t="s">
        <v>83</v>
      </c>
      <c r="O4" s="66" t="s">
        <v>100</v>
      </c>
      <c r="P4" s="66" t="s">
        <v>26</v>
      </c>
      <c r="Q4" t="s">
        <v>84</v>
      </c>
      <c r="R4" t="s">
        <v>90</v>
      </c>
      <c r="S4" t="s">
        <v>92</v>
      </c>
      <c r="T4" t="s">
        <v>96</v>
      </c>
      <c r="U4" t="s">
        <v>99</v>
      </c>
      <c r="V4" t="s">
        <v>212</v>
      </c>
    </row>
    <row r="5" spans="1:22" s="62" customFormat="1" ht="21.75" customHeight="1" x14ac:dyDescent="0.35">
      <c r="A5" s="67">
        <v>1</v>
      </c>
      <c r="B5" s="83" t="s">
        <v>232</v>
      </c>
      <c r="C5" s="69">
        <v>5463</v>
      </c>
      <c r="D5" s="70">
        <v>46180</v>
      </c>
      <c r="E5" s="68" t="s">
        <v>161</v>
      </c>
      <c r="F5" s="71">
        <v>0.52083333333333337</v>
      </c>
      <c r="G5" s="71">
        <v>0.52083333333333337</v>
      </c>
      <c r="H5" s="71">
        <v>0.52361111111111114</v>
      </c>
      <c r="I5" s="72">
        <f>'الإفاقة القلبية'!$H5-'الإفاقة القلبية'!$F5</f>
        <v>2.7777777777777679E-3</v>
      </c>
      <c r="J5" s="73">
        <v>35</v>
      </c>
      <c r="K5" s="71">
        <v>0.53055555555555556</v>
      </c>
      <c r="L5" s="72">
        <f>'الإفاقة القلبية'!$K5-'الإفاقة القلبية'!$G5</f>
        <v>9.7222222222221877E-3</v>
      </c>
      <c r="M5" s="68" t="s">
        <v>92</v>
      </c>
      <c r="N5" s="68" t="s">
        <v>90</v>
      </c>
      <c r="O5" s="74" t="str">
        <f>IF(Table6[[#This Row],[تاريخ حدوث توقف القلب
mm/dd/yyyy]]="","",TEXT(Table6[[#This Row],[تاريخ حدوث توقف القلب
mm/dd/yyyy]],"mmm-yyyy"))</f>
        <v>Jun-2026</v>
      </c>
      <c r="Q5" s="62" t="s">
        <v>85</v>
      </c>
      <c r="R5" s="62" t="s">
        <v>91</v>
      </c>
      <c r="S5" s="62" t="s">
        <v>93</v>
      </c>
      <c r="T5" s="62" t="s">
        <v>92</v>
      </c>
      <c r="U5" s="62">
        <v>10</v>
      </c>
    </row>
    <row r="6" spans="1:22" s="91" customFormat="1" ht="21.75" customHeight="1" x14ac:dyDescent="0.35">
      <c r="A6" s="82">
        <v>2</v>
      </c>
      <c r="B6" s="83" t="s">
        <v>232</v>
      </c>
      <c r="C6" s="84"/>
      <c r="D6" s="85">
        <v>46176</v>
      </c>
      <c r="E6" s="83" t="s">
        <v>161</v>
      </c>
      <c r="F6" s="86">
        <v>0.41666666666666669</v>
      </c>
      <c r="G6" s="86">
        <v>0.41666666666666669</v>
      </c>
      <c r="H6" s="86">
        <v>0.4291666666666667</v>
      </c>
      <c r="I6" s="87">
        <f>'الإفاقة القلبية'!$H6-'الإفاقة القلبية'!$F6</f>
        <v>1.2500000000000011E-2</v>
      </c>
      <c r="J6" s="88"/>
      <c r="K6" s="89"/>
      <c r="L6" s="87">
        <f>'الإفاقة القلبية'!$K6-'الإفاقة القلبية'!$G6</f>
        <v>-0.41666666666666669</v>
      </c>
      <c r="M6" s="83"/>
      <c r="N6" s="83"/>
      <c r="O6" s="90" t="str">
        <f>IF(Table6[[#This Row],[تاريخ حدوث توقف القلب
mm/dd/yyyy]]="","",TEXT(Table6[[#This Row],[تاريخ حدوث توقف القلب
mm/dd/yyyy]],"mmm-yyyy"))</f>
        <v>Jun-2026</v>
      </c>
      <c r="Q6" s="91" t="s">
        <v>86</v>
      </c>
      <c r="S6" s="91" t="s">
        <v>94</v>
      </c>
      <c r="U6" s="91">
        <v>10</v>
      </c>
    </row>
    <row r="7" spans="1:22" s="62" customFormat="1" ht="21.75" customHeight="1" x14ac:dyDescent="0.35">
      <c r="A7" s="75">
        <v>3</v>
      </c>
      <c r="B7" s="76"/>
      <c r="C7" s="77"/>
      <c r="D7" s="78"/>
      <c r="E7" s="76"/>
      <c r="F7" s="135"/>
      <c r="G7" s="135"/>
      <c r="H7" s="135"/>
      <c r="I7" s="80">
        <f>'الإفاقة القلبية'!$H7-'الإفاقة القلبية'!$F7</f>
        <v>0</v>
      </c>
      <c r="J7" s="81"/>
      <c r="K7" s="134"/>
      <c r="L7" s="80">
        <f>'الإفاقة القلبية'!$K7-'الإفاقة القلبية'!$G7</f>
        <v>0</v>
      </c>
      <c r="M7" s="76"/>
      <c r="N7" s="76"/>
      <c r="O7" s="74" t="str">
        <f>IF(Table6[[#This Row],[تاريخ حدوث توقف القلب
mm/dd/yyyy]]="","",TEXT(Table6[[#This Row],[تاريخ حدوث توقف القلب
mm/dd/yyyy]],"mmm-yyyy"))</f>
        <v/>
      </c>
      <c r="Q7" s="62" t="s">
        <v>87</v>
      </c>
      <c r="U7" s="62">
        <v>10</v>
      </c>
    </row>
    <row r="8" spans="1:22" s="91" customFormat="1" ht="21.75" customHeight="1" x14ac:dyDescent="0.35">
      <c r="A8" s="92">
        <v>4</v>
      </c>
      <c r="B8" s="93"/>
      <c r="C8" s="94"/>
      <c r="D8" s="95"/>
      <c r="E8" s="93"/>
      <c r="F8" s="96"/>
      <c r="G8" s="96"/>
      <c r="H8" s="96"/>
      <c r="I8" s="97">
        <f>'الإفاقة القلبية'!$H8-'الإفاقة القلبية'!$F8</f>
        <v>0</v>
      </c>
      <c r="J8" s="98"/>
      <c r="K8" s="96"/>
      <c r="L8" s="97">
        <f>'الإفاقة القلبية'!$K8-'الإفاقة القلبية'!$G8</f>
        <v>0</v>
      </c>
      <c r="M8" s="93"/>
      <c r="N8" s="93"/>
      <c r="O8" s="99" t="str">
        <f>IF(Table6[[#This Row],[تاريخ حدوث توقف القلب
mm/dd/yyyy]]="","",TEXT(Table6[[#This Row],[تاريخ حدوث توقف القلب
mm/dd/yyyy]],"mmm-yyyy"))</f>
        <v/>
      </c>
      <c r="Q8" s="91" t="s">
        <v>88</v>
      </c>
      <c r="U8" s="91">
        <v>10</v>
      </c>
    </row>
    <row r="9" spans="1:22" s="62" customFormat="1" ht="21.75" customHeight="1" x14ac:dyDescent="0.35">
      <c r="A9" s="75">
        <v>5</v>
      </c>
      <c r="B9" s="76"/>
      <c r="C9" s="77"/>
      <c r="D9" s="78"/>
      <c r="E9" s="76"/>
      <c r="F9" s="135"/>
      <c r="G9" s="135"/>
      <c r="H9" s="135"/>
      <c r="I9" s="80">
        <f>'الإفاقة القلبية'!$H9-'الإفاقة القلبية'!$F9</f>
        <v>0</v>
      </c>
      <c r="J9" s="81"/>
      <c r="K9" s="134"/>
      <c r="L9" s="80">
        <f>'الإفاقة القلبية'!$K9-'الإفاقة القلبية'!$G9</f>
        <v>0</v>
      </c>
      <c r="M9" s="76"/>
      <c r="N9" s="76"/>
      <c r="O9" s="74" t="str">
        <f>IF(Table6[[#This Row],[تاريخ حدوث توقف القلب
mm/dd/yyyy]]="","",TEXT(Table6[[#This Row],[تاريخ حدوث توقف القلب
mm/dd/yyyy]],"mmm-yyyy"))</f>
        <v/>
      </c>
      <c r="Q9" s="62" t="s">
        <v>89</v>
      </c>
      <c r="U9" s="62">
        <v>10</v>
      </c>
    </row>
    <row r="10" spans="1:22" s="91" customFormat="1" ht="21.75" customHeight="1" x14ac:dyDescent="0.35">
      <c r="A10" s="92">
        <v>6</v>
      </c>
      <c r="B10" s="93"/>
      <c r="C10" s="94"/>
      <c r="D10" s="95"/>
      <c r="E10" s="93"/>
      <c r="F10" s="96"/>
      <c r="G10" s="96"/>
      <c r="H10" s="96"/>
      <c r="I10" s="97">
        <f>'الإفاقة القلبية'!$H10-'الإفاقة القلبية'!$F10</f>
        <v>0</v>
      </c>
      <c r="J10" s="98"/>
      <c r="K10" s="96"/>
      <c r="L10" s="97">
        <f>'الإفاقة القلبية'!$K10-'الإفاقة القلبية'!$G10</f>
        <v>0</v>
      </c>
      <c r="M10" s="93"/>
      <c r="N10" s="93"/>
      <c r="O10" s="99" t="str">
        <f>IF(Table6[[#This Row],[تاريخ حدوث توقف القلب
mm/dd/yyyy]]="","",TEXT(Table6[[#This Row],[تاريخ حدوث توقف القلب
mm/dd/yyyy]],"mmm-yyyy"))</f>
        <v/>
      </c>
      <c r="Q10" s="91" t="s">
        <v>21</v>
      </c>
      <c r="U10" s="91">
        <v>10</v>
      </c>
    </row>
    <row r="11" spans="1:22" s="62" customFormat="1" ht="21.75" customHeight="1" x14ac:dyDescent="0.35">
      <c r="A11" s="75">
        <v>7</v>
      </c>
      <c r="B11" s="76"/>
      <c r="C11" s="77"/>
      <c r="D11" s="78"/>
      <c r="E11" s="76"/>
      <c r="F11" s="79"/>
      <c r="G11" s="79"/>
      <c r="H11" s="79"/>
      <c r="I11" s="80">
        <f>'الإفاقة القلبية'!$H11-'الإفاقة القلبية'!$F11</f>
        <v>0</v>
      </c>
      <c r="J11" s="81"/>
      <c r="K11" s="79"/>
      <c r="L11" s="80">
        <f>'الإفاقة القلبية'!$K11-'الإفاقة القلبية'!$G11</f>
        <v>0</v>
      </c>
      <c r="M11" s="76"/>
      <c r="N11" s="76"/>
      <c r="O11" s="74" t="str">
        <f>IF(Table6[[#This Row],[تاريخ حدوث توقف القلب
mm/dd/yyyy]]="","",TEXT(Table6[[#This Row],[تاريخ حدوث توقف القلب
mm/dd/yyyy]],"mmm-yyyy"))</f>
        <v/>
      </c>
      <c r="Q11" s="62" t="s">
        <v>161</v>
      </c>
      <c r="U11" s="62">
        <v>10</v>
      </c>
    </row>
    <row r="12" spans="1:22" s="91" customFormat="1" ht="21.75" customHeight="1" x14ac:dyDescent="0.35">
      <c r="A12" s="92">
        <v>8</v>
      </c>
      <c r="B12" s="93"/>
      <c r="C12" s="94"/>
      <c r="D12" s="95"/>
      <c r="E12" s="93"/>
      <c r="F12" s="96"/>
      <c r="G12" s="96"/>
      <c r="H12" s="96"/>
      <c r="I12" s="97">
        <f>'الإفاقة القلبية'!$H12-'الإفاقة القلبية'!$F12</f>
        <v>0</v>
      </c>
      <c r="J12" s="98"/>
      <c r="K12" s="96"/>
      <c r="L12" s="97">
        <f>'الإفاقة القلبية'!$K12-'الإفاقة القلبية'!$G12</f>
        <v>0</v>
      </c>
      <c r="M12" s="93"/>
      <c r="N12" s="93"/>
      <c r="O12" s="99" t="str">
        <f>IF(Table6[[#This Row],[تاريخ حدوث توقف القلب
mm/dd/yyyy]]="","",TEXT(Table6[[#This Row],[تاريخ حدوث توقف القلب
mm/dd/yyyy]],"mmm-yyyy"))</f>
        <v/>
      </c>
      <c r="U12" s="91">
        <v>10</v>
      </c>
    </row>
    <row r="13" spans="1:22" s="62" customFormat="1" ht="21.75" customHeight="1" x14ac:dyDescent="0.35">
      <c r="A13" s="75">
        <v>9</v>
      </c>
      <c r="B13" s="76"/>
      <c r="C13" s="77"/>
      <c r="D13" s="78"/>
      <c r="E13" s="76"/>
      <c r="F13" s="79"/>
      <c r="G13" s="79"/>
      <c r="H13" s="79"/>
      <c r="I13" s="80">
        <f>'الإفاقة القلبية'!$H13-'الإفاقة القلبية'!$F13</f>
        <v>0</v>
      </c>
      <c r="J13" s="81"/>
      <c r="K13" s="79"/>
      <c r="L13" s="80">
        <f>'الإفاقة القلبية'!$K13-'الإفاقة القلبية'!$G13</f>
        <v>0</v>
      </c>
      <c r="M13" s="76"/>
      <c r="N13" s="76"/>
      <c r="O13" s="74" t="str">
        <f>IF(Table6[[#This Row],[تاريخ حدوث توقف القلب
mm/dd/yyyy]]="","",TEXT(Table6[[#This Row],[تاريخ حدوث توقف القلب
mm/dd/yyyy]],"mmm-yyyy"))</f>
        <v/>
      </c>
      <c r="U13" s="62">
        <v>10</v>
      </c>
    </row>
    <row r="14" spans="1:22" s="91" customFormat="1" ht="21.75" customHeight="1" x14ac:dyDescent="0.35">
      <c r="A14" s="92">
        <v>10</v>
      </c>
      <c r="B14" s="93"/>
      <c r="C14" s="94"/>
      <c r="D14" s="95"/>
      <c r="E14" s="93"/>
      <c r="F14" s="96"/>
      <c r="G14" s="96"/>
      <c r="H14" s="96"/>
      <c r="I14" s="97">
        <f>'الإفاقة القلبية'!$H14-'الإفاقة القلبية'!$F14</f>
        <v>0</v>
      </c>
      <c r="J14" s="98"/>
      <c r="K14" s="96"/>
      <c r="L14" s="97">
        <f>'الإفاقة القلبية'!$K14-'الإفاقة القلبية'!$G14</f>
        <v>0</v>
      </c>
      <c r="M14" s="93"/>
      <c r="N14" s="93"/>
      <c r="O14" s="99" t="str">
        <f>IF(Table6[[#This Row],[تاريخ حدوث توقف القلب
mm/dd/yyyy]]="","",TEXT(Table6[[#This Row],[تاريخ حدوث توقف القلب
mm/dd/yyyy]],"mmm-yyyy"))</f>
        <v/>
      </c>
      <c r="U14" s="91">
        <v>10</v>
      </c>
    </row>
    <row r="15" spans="1:22" s="62" customFormat="1" ht="21.75" customHeight="1" x14ac:dyDescent="0.35">
      <c r="A15" s="75">
        <v>11</v>
      </c>
      <c r="B15" s="76"/>
      <c r="C15" s="77"/>
      <c r="D15" s="78"/>
      <c r="E15" s="76"/>
      <c r="F15" s="79"/>
      <c r="G15" s="79"/>
      <c r="H15" s="79"/>
      <c r="I15" s="80">
        <f>'الإفاقة القلبية'!$H15-'الإفاقة القلبية'!$F15</f>
        <v>0</v>
      </c>
      <c r="J15" s="81"/>
      <c r="K15" s="79"/>
      <c r="L15" s="80">
        <f>'الإفاقة القلبية'!$K15-'الإفاقة القلبية'!$G15</f>
        <v>0</v>
      </c>
      <c r="M15" s="76"/>
      <c r="N15" s="76"/>
      <c r="O15" s="74" t="str">
        <f>IF(Table6[[#This Row],[تاريخ حدوث توقف القلب
mm/dd/yyyy]]="","",TEXT(Table6[[#This Row],[تاريخ حدوث توقف القلب
mm/dd/yyyy]],"mmm-yyyy"))</f>
        <v/>
      </c>
      <c r="U15" s="62">
        <v>10</v>
      </c>
    </row>
    <row r="16" spans="1:22" s="91" customFormat="1" ht="21.75" customHeight="1" x14ac:dyDescent="0.35">
      <c r="A16" s="92">
        <v>12</v>
      </c>
      <c r="B16" s="93"/>
      <c r="C16" s="94"/>
      <c r="D16" s="95"/>
      <c r="E16" s="93"/>
      <c r="F16" s="96"/>
      <c r="G16" s="96"/>
      <c r="H16" s="96"/>
      <c r="I16" s="97">
        <f>'الإفاقة القلبية'!$H16-'الإفاقة القلبية'!$F16</f>
        <v>0</v>
      </c>
      <c r="J16" s="98"/>
      <c r="K16" s="96"/>
      <c r="L16" s="97">
        <f>'الإفاقة القلبية'!$K16-'الإفاقة القلبية'!$G16</f>
        <v>0</v>
      </c>
      <c r="M16" s="93"/>
      <c r="N16" s="93"/>
      <c r="O16" s="99" t="str">
        <f>IF(Table6[[#This Row],[تاريخ حدوث توقف القلب
mm/dd/yyyy]]="","",TEXT(Table6[[#This Row],[تاريخ حدوث توقف القلب
mm/dd/yyyy]],"mmm-yyyy"))</f>
        <v/>
      </c>
      <c r="U16" s="91">
        <v>10</v>
      </c>
    </row>
    <row r="17" spans="1:21" s="62" customFormat="1" ht="21.75" customHeight="1" x14ac:dyDescent="0.35">
      <c r="A17" s="75">
        <v>13</v>
      </c>
      <c r="B17" s="76"/>
      <c r="C17" s="77"/>
      <c r="D17" s="78"/>
      <c r="E17" s="76"/>
      <c r="F17" s="79"/>
      <c r="G17" s="79"/>
      <c r="H17" s="79"/>
      <c r="I17" s="80">
        <f>'الإفاقة القلبية'!$H17-'الإفاقة القلبية'!$F17</f>
        <v>0</v>
      </c>
      <c r="J17" s="81"/>
      <c r="K17" s="79"/>
      <c r="L17" s="80">
        <f>'الإفاقة القلبية'!$K17-'الإفاقة القلبية'!$G17</f>
        <v>0</v>
      </c>
      <c r="M17" s="76"/>
      <c r="N17" s="76"/>
      <c r="O17" s="74" t="str">
        <f>IF(Table6[[#This Row],[تاريخ حدوث توقف القلب
mm/dd/yyyy]]="","",TEXT(Table6[[#This Row],[تاريخ حدوث توقف القلب
mm/dd/yyyy]],"mmm-yyyy"))</f>
        <v/>
      </c>
      <c r="U17" s="62">
        <v>10</v>
      </c>
    </row>
    <row r="18" spans="1:21" s="91" customFormat="1" ht="21.75" customHeight="1" x14ac:dyDescent="0.35">
      <c r="A18" s="92">
        <v>14</v>
      </c>
      <c r="B18" s="93"/>
      <c r="C18" s="94"/>
      <c r="D18" s="95"/>
      <c r="E18" s="93"/>
      <c r="F18" s="96"/>
      <c r="G18" s="96"/>
      <c r="H18" s="96"/>
      <c r="I18" s="97">
        <f>'الإفاقة القلبية'!$H18-'الإفاقة القلبية'!$F18</f>
        <v>0</v>
      </c>
      <c r="J18" s="98"/>
      <c r="K18" s="96"/>
      <c r="L18" s="97">
        <f>'الإفاقة القلبية'!$K18-'الإفاقة القلبية'!$G18</f>
        <v>0</v>
      </c>
      <c r="M18" s="93"/>
      <c r="N18" s="93"/>
      <c r="O18" s="99" t="str">
        <f>IF(Table6[[#This Row],[تاريخ حدوث توقف القلب
mm/dd/yyyy]]="","",TEXT(Table6[[#This Row],[تاريخ حدوث توقف القلب
mm/dd/yyyy]],"mmm-yyyy"))</f>
        <v/>
      </c>
      <c r="U18" s="91">
        <v>10</v>
      </c>
    </row>
    <row r="19" spans="1:21" s="62" customFormat="1" ht="21.75" customHeight="1" x14ac:dyDescent="0.35">
      <c r="A19" s="75">
        <v>15</v>
      </c>
      <c r="B19" s="76"/>
      <c r="C19" s="77"/>
      <c r="D19" s="78"/>
      <c r="E19" s="76"/>
      <c r="F19" s="79"/>
      <c r="G19" s="79"/>
      <c r="H19" s="79"/>
      <c r="I19" s="80">
        <f>'الإفاقة القلبية'!$H19-'الإفاقة القلبية'!$F19</f>
        <v>0</v>
      </c>
      <c r="J19" s="81"/>
      <c r="K19" s="79"/>
      <c r="L19" s="80">
        <f>'الإفاقة القلبية'!$K19-'الإفاقة القلبية'!$G19</f>
        <v>0</v>
      </c>
      <c r="M19" s="76"/>
      <c r="N19" s="76"/>
      <c r="O19" s="74" t="str">
        <f>IF(Table6[[#This Row],[تاريخ حدوث توقف القلب
mm/dd/yyyy]]="","",TEXT(Table6[[#This Row],[تاريخ حدوث توقف القلب
mm/dd/yyyy]],"mmm-yyyy"))</f>
        <v/>
      </c>
      <c r="U19" s="62">
        <v>10</v>
      </c>
    </row>
    <row r="20" spans="1:21" s="91" customFormat="1" ht="21.75" customHeight="1" x14ac:dyDescent="0.35">
      <c r="A20" s="92">
        <v>16</v>
      </c>
      <c r="B20" s="93"/>
      <c r="C20" s="94"/>
      <c r="D20" s="95"/>
      <c r="E20" s="93"/>
      <c r="F20" s="96"/>
      <c r="G20" s="96"/>
      <c r="H20" s="96"/>
      <c r="I20" s="97">
        <f>'الإفاقة القلبية'!$H20-'الإفاقة القلبية'!$F20</f>
        <v>0</v>
      </c>
      <c r="J20" s="98"/>
      <c r="K20" s="96"/>
      <c r="L20" s="97">
        <f>'الإفاقة القلبية'!$K20-'الإفاقة القلبية'!$G20</f>
        <v>0</v>
      </c>
      <c r="M20" s="93"/>
      <c r="N20" s="93"/>
      <c r="O20" s="99" t="str">
        <f>IF(Table6[[#This Row],[تاريخ حدوث توقف القلب
mm/dd/yyyy]]="","",TEXT(Table6[[#This Row],[تاريخ حدوث توقف القلب
mm/dd/yyyy]],"mmm-yyyy"))</f>
        <v/>
      </c>
      <c r="U20" s="91">
        <v>10</v>
      </c>
    </row>
    <row r="21" spans="1:21" s="62" customFormat="1" ht="21.75" customHeight="1" x14ac:dyDescent="0.35">
      <c r="A21" s="75">
        <v>17</v>
      </c>
      <c r="B21" s="76"/>
      <c r="C21" s="77"/>
      <c r="D21" s="78"/>
      <c r="E21" s="76"/>
      <c r="F21" s="79"/>
      <c r="G21" s="79"/>
      <c r="H21" s="79"/>
      <c r="I21" s="80">
        <f>'الإفاقة القلبية'!$H21-'الإفاقة القلبية'!$F21</f>
        <v>0</v>
      </c>
      <c r="J21" s="81"/>
      <c r="K21" s="79"/>
      <c r="L21" s="80">
        <f>'الإفاقة القلبية'!$K21-'الإفاقة القلبية'!$G21</f>
        <v>0</v>
      </c>
      <c r="M21" s="76"/>
      <c r="N21" s="76"/>
      <c r="O21" s="74" t="str">
        <f>IF(Table6[[#This Row],[تاريخ حدوث توقف القلب
mm/dd/yyyy]]="","",TEXT(Table6[[#This Row],[تاريخ حدوث توقف القلب
mm/dd/yyyy]],"mmm-yyyy"))</f>
        <v/>
      </c>
      <c r="U21" s="62">
        <v>10</v>
      </c>
    </row>
    <row r="22" spans="1:21" s="91" customFormat="1" ht="21.75" customHeight="1" x14ac:dyDescent="0.35">
      <c r="A22" s="92">
        <v>18</v>
      </c>
      <c r="B22" s="93"/>
      <c r="C22" s="94"/>
      <c r="D22" s="95"/>
      <c r="E22" s="93"/>
      <c r="F22" s="96"/>
      <c r="G22" s="96"/>
      <c r="H22" s="96"/>
      <c r="I22" s="97">
        <f>'الإفاقة القلبية'!$H22-'الإفاقة القلبية'!$F22</f>
        <v>0</v>
      </c>
      <c r="J22" s="98"/>
      <c r="K22" s="96"/>
      <c r="L22" s="97">
        <f>'الإفاقة القلبية'!$K22-'الإفاقة القلبية'!$G22</f>
        <v>0</v>
      </c>
      <c r="M22" s="93"/>
      <c r="N22" s="93"/>
      <c r="O22" s="99" t="str">
        <f>IF(Table6[[#This Row],[تاريخ حدوث توقف القلب
mm/dd/yyyy]]="","",TEXT(Table6[[#This Row],[تاريخ حدوث توقف القلب
mm/dd/yyyy]],"mmm-yyyy"))</f>
        <v/>
      </c>
      <c r="U22" s="91">
        <v>10</v>
      </c>
    </row>
    <row r="23" spans="1:21" s="62" customFormat="1" ht="21.75" customHeight="1" x14ac:dyDescent="0.35">
      <c r="A23" s="75">
        <v>19</v>
      </c>
      <c r="B23" s="76"/>
      <c r="C23" s="77"/>
      <c r="D23" s="78"/>
      <c r="E23" s="76"/>
      <c r="F23" s="79"/>
      <c r="G23" s="79"/>
      <c r="H23" s="79"/>
      <c r="I23" s="80">
        <f>'الإفاقة القلبية'!$H23-'الإفاقة القلبية'!$F23</f>
        <v>0</v>
      </c>
      <c r="J23" s="81"/>
      <c r="K23" s="79"/>
      <c r="L23" s="80">
        <f>'الإفاقة القلبية'!$K23-'الإفاقة القلبية'!$G23</f>
        <v>0</v>
      </c>
      <c r="M23" s="76"/>
      <c r="N23" s="76"/>
      <c r="O23" s="74" t="str">
        <f>IF(Table6[[#This Row],[تاريخ حدوث توقف القلب
mm/dd/yyyy]]="","",TEXT(Table6[[#This Row],[تاريخ حدوث توقف القلب
mm/dd/yyyy]],"mmm-yyyy"))</f>
        <v/>
      </c>
      <c r="U23" s="62">
        <v>10</v>
      </c>
    </row>
    <row r="24" spans="1:21" s="91" customFormat="1" ht="21.75" customHeight="1" x14ac:dyDescent="0.35">
      <c r="A24" s="92">
        <v>20</v>
      </c>
      <c r="B24" s="93"/>
      <c r="C24" s="94"/>
      <c r="D24" s="95"/>
      <c r="E24" s="93"/>
      <c r="F24" s="96"/>
      <c r="G24" s="96"/>
      <c r="H24" s="96"/>
      <c r="I24" s="97">
        <f>'الإفاقة القلبية'!$H24-'الإفاقة القلبية'!$F24</f>
        <v>0</v>
      </c>
      <c r="J24" s="98"/>
      <c r="K24" s="96"/>
      <c r="L24" s="97">
        <f>'الإفاقة القلبية'!$K24-'الإفاقة القلبية'!$G24</f>
        <v>0</v>
      </c>
      <c r="M24" s="93"/>
      <c r="N24" s="93"/>
      <c r="O24" s="99" t="str">
        <f>IF(Table6[[#This Row],[تاريخ حدوث توقف القلب
mm/dd/yyyy]]="","",TEXT(Table6[[#This Row],[تاريخ حدوث توقف القلب
mm/dd/yyyy]],"mmm-yyyy"))</f>
        <v/>
      </c>
      <c r="U24" s="91">
        <v>10</v>
      </c>
    </row>
    <row r="25" spans="1:21" s="62" customFormat="1" ht="21.75" customHeight="1" x14ac:dyDescent="0.35">
      <c r="A25" s="75">
        <v>21</v>
      </c>
      <c r="B25" s="76"/>
      <c r="C25" s="77"/>
      <c r="D25" s="78"/>
      <c r="E25" s="76"/>
      <c r="F25" s="79"/>
      <c r="G25" s="79"/>
      <c r="H25" s="79"/>
      <c r="I25" s="80">
        <f>'الإفاقة القلبية'!$H25-'الإفاقة القلبية'!$F25</f>
        <v>0</v>
      </c>
      <c r="J25" s="81"/>
      <c r="K25" s="79"/>
      <c r="L25" s="80">
        <f>'الإفاقة القلبية'!$K25-'الإفاقة القلبية'!$G25</f>
        <v>0</v>
      </c>
      <c r="M25" s="76"/>
      <c r="N25" s="76"/>
      <c r="O25" s="74" t="str">
        <f>IF(Table6[[#This Row],[تاريخ حدوث توقف القلب
mm/dd/yyyy]]="","",TEXT(Table6[[#This Row],[تاريخ حدوث توقف القلب
mm/dd/yyyy]],"mmm-yyyy"))</f>
        <v/>
      </c>
      <c r="U25" s="62">
        <v>10</v>
      </c>
    </row>
    <row r="26" spans="1:21" s="91" customFormat="1" ht="21.75" customHeight="1" x14ac:dyDescent="0.35">
      <c r="A26" s="92">
        <v>22</v>
      </c>
      <c r="B26" s="93"/>
      <c r="C26" s="94"/>
      <c r="D26" s="95"/>
      <c r="E26" s="93"/>
      <c r="F26" s="96"/>
      <c r="G26" s="96"/>
      <c r="H26" s="96"/>
      <c r="I26" s="97">
        <f>'الإفاقة القلبية'!$H26-'الإفاقة القلبية'!$F26</f>
        <v>0</v>
      </c>
      <c r="J26" s="98"/>
      <c r="K26" s="96"/>
      <c r="L26" s="97">
        <f>'الإفاقة القلبية'!$K26-'الإفاقة القلبية'!$G26</f>
        <v>0</v>
      </c>
      <c r="M26" s="93"/>
      <c r="N26" s="93"/>
      <c r="O26" s="99" t="str">
        <f>IF(Table6[[#This Row],[تاريخ حدوث توقف القلب
mm/dd/yyyy]]="","",TEXT(Table6[[#This Row],[تاريخ حدوث توقف القلب
mm/dd/yyyy]],"mmm-yyyy"))</f>
        <v/>
      </c>
      <c r="U26" s="91">
        <v>10</v>
      </c>
    </row>
    <row r="27" spans="1:21" s="62" customFormat="1" ht="21.75" customHeight="1" x14ac:dyDescent="0.35">
      <c r="A27" s="75">
        <v>23</v>
      </c>
      <c r="B27" s="76"/>
      <c r="C27" s="77"/>
      <c r="D27" s="78"/>
      <c r="E27" s="76"/>
      <c r="F27" s="79"/>
      <c r="G27" s="79"/>
      <c r="H27" s="79"/>
      <c r="I27" s="80">
        <f>'الإفاقة القلبية'!$H27-'الإفاقة القلبية'!$F27</f>
        <v>0</v>
      </c>
      <c r="J27" s="81"/>
      <c r="K27" s="79"/>
      <c r="L27" s="80">
        <f>'الإفاقة القلبية'!$K27-'الإفاقة القلبية'!$G27</f>
        <v>0</v>
      </c>
      <c r="M27" s="76"/>
      <c r="N27" s="76"/>
      <c r="O27" s="74" t="str">
        <f>IF(Table6[[#This Row],[تاريخ حدوث توقف القلب
mm/dd/yyyy]]="","",TEXT(Table6[[#This Row],[تاريخ حدوث توقف القلب
mm/dd/yyyy]],"mmm-yyyy"))</f>
        <v/>
      </c>
      <c r="U27" s="62">
        <v>10</v>
      </c>
    </row>
    <row r="28" spans="1:21" s="91" customFormat="1" ht="21.75" customHeight="1" x14ac:dyDescent="0.35">
      <c r="A28" s="92">
        <v>24</v>
      </c>
      <c r="B28" s="93"/>
      <c r="C28" s="94"/>
      <c r="D28" s="95"/>
      <c r="E28" s="93"/>
      <c r="F28" s="96"/>
      <c r="G28" s="96"/>
      <c r="H28" s="96"/>
      <c r="I28" s="97">
        <f>'الإفاقة القلبية'!$H28-'الإفاقة القلبية'!$F28</f>
        <v>0</v>
      </c>
      <c r="J28" s="98"/>
      <c r="K28" s="96"/>
      <c r="L28" s="97">
        <f>'الإفاقة القلبية'!$K28-'الإفاقة القلبية'!$G28</f>
        <v>0</v>
      </c>
      <c r="M28" s="93"/>
      <c r="N28" s="93"/>
      <c r="O28" s="99" t="str">
        <f>IF(Table6[[#This Row],[تاريخ حدوث توقف القلب
mm/dd/yyyy]]="","",TEXT(Table6[[#This Row],[تاريخ حدوث توقف القلب
mm/dd/yyyy]],"mmm-yyyy"))</f>
        <v/>
      </c>
      <c r="U28" s="91">
        <v>10</v>
      </c>
    </row>
    <row r="29" spans="1:21" s="62" customFormat="1" ht="21.75" customHeight="1" x14ac:dyDescent="0.35">
      <c r="A29" s="75">
        <v>25</v>
      </c>
      <c r="B29" s="76"/>
      <c r="C29" s="77"/>
      <c r="D29" s="78"/>
      <c r="E29" s="76"/>
      <c r="F29" s="79"/>
      <c r="G29" s="79"/>
      <c r="H29" s="79"/>
      <c r="I29" s="80">
        <f>'الإفاقة القلبية'!$H29-'الإفاقة القلبية'!$F29</f>
        <v>0</v>
      </c>
      <c r="J29" s="81"/>
      <c r="K29" s="79"/>
      <c r="L29" s="80">
        <f>'الإفاقة القلبية'!$K29-'الإفاقة القلبية'!$G29</f>
        <v>0</v>
      </c>
      <c r="M29" s="76"/>
      <c r="N29" s="76"/>
      <c r="O29" s="74" t="str">
        <f>IF(Table6[[#This Row],[تاريخ حدوث توقف القلب
mm/dd/yyyy]]="","",TEXT(Table6[[#This Row],[تاريخ حدوث توقف القلب
mm/dd/yyyy]],"mmm-yyyy"))</f>
        <v/>
      </c>
      <c r="U29" s="62">
        <v>10</v>
      </c>
    </row>
    <row r="30" spans="1:21" s="91" customFormat="1" ht="21.75" customHeight="1" x14ac:dyDescent="0.35">
      <c r="A30" s="92">
        <v>26</v>
      </c>
      <c r="B30" s="93"/>
      <c r="C30" s="94"/>
      <c r="D30" s="95"/>
      <c r="E30" s="93"/>
      <c r="F30" s="96"/>
      <c r="G30" s="96"/>
      <c r="H30" s="96"/>
      <c r="I30" s="97">
        <f>'الإفاقة القلبية'!$H30-'الإفاقة القلبية'!$F30</f>
        <v>0</v>
      </c>
      <c r="J30" s="98"/>
      <c r="K30" s="96"/>
      <c r="L30" s="97">
        <f>'الإفاقة القلبية'!$K30-'الإفاقة القلبية'!$G30</f>
        <v>0</v>
      </c>
      <c r="M30" s="93"/>
      <c r="N30" s="93"/>
      <c r="O30" s="99" t="str">
        <f>IF(Table6[[#This Row],[تاريخ حدوث توقف القلب
mm/dd/yyyy]]="","",TEXT(Table6[[#This Row],[تاريخ حدوث توقف القلب
mm/dd/yyyy]],"mmm-yyyy"))</f>
        <v/>
      </c>
      <c r="U30" s="91">
        <v>10</v>
      </c>
    </row>
    <row r="31" spans="1:21" s="62" customFormat="1" ht="21.75" customHeight="1" x14ac:dyDescent="0.35">
      <c r="A31" s="75">
        <v>27</v>
      </c>
      <c r="B31" s="76"/>
      <c r="C31" s="77"/>
      <c r="D31" s="78"/>
      <c r="E31" s="76"/>
      <c r="F31" s="79"/>
      <c r="G31" s="79"/>
      <c r="H31" s="79"/>
      <c r="I31" s="80">
        <f>'الإفاقة القلبية'!$H31-'الإفاقة القلبية'!$F31</f>
        <v>0</v>
      </c>
      <c r="J31" s="81"/>
      <c r="K31" s="79"/>
      <c r="L31" s="80">
        <f>'الإفاقة القلبية'!$K31-'الإفاقة القلبية'!$G31</f>
        <v>0</v>
      </c>
      <c r="M31" s="76"/>
      <c r="N31" s="76"/>
      <c r="O31" s="74" t="str">
        <f>IF(Table6[[#This Row],[تاريخ حدوث توقف القلب
mm/dd/yyyy]]="","",TEXT(Table6[[#This Row],[تاريخ حدوث توقف القلب
mm/dd/yyyy]],"mmm-yyyy"))</f>
        <v/>
      </c>
      <c r="U31" s="62">
        <v>10</v>
      </c>
    </row>
    <row r="32" spans="1:21" s="91" customFormat="1" ht="21.75" customHeight="1" x14ac:dyDescent="0.35">
      <c r="A32" s="92">
        <v>28</v>
      </c>
      <c r="B32" s="93"/>
      <c r="C32" s="94"/>
      <c r="D32" s="95"/>
      <c r="E32" s="93"/>
      <c r="F32" s="96"/>
      <c r="G32" s="96"/>
      <c r="H32" s="96"/>
      <c r="I32" s="97">
        <f>'الإفاقة القلبية'!$H32-'الإفاقة القلبية'!$F32</f>
        <v>0</v>
      </c>
      <c r="J32" s="98"/>
      <c r="K32" s="96"/>
      <c r="L32" s="97">
        <f>'الإفاقة القلبية'!$K32-'الإفاقة القلبية'!$G32</f>
        <v>0</v>
      </c>
      <c r="M32" s="93"/>
      <c r="N32" s="93"/>
      <c r="O32" s="99" t="str">
        <f>IF(Table6[[#This Row],[تاريخ حدوث توقف القلب
mm/dd/yyyy]]="","",TEXT(Table6[[#This Row],[تاريخ حدوث توقف القلب
mm/dd/yyyy]],"mmm-yyyy"))</f>
        <v/>
      </c>
      <c r="U32" s="91">
        <v>10</v>
      </c>
    </row>
    <row r="33" spans="1:21" s="62" customFormat="1" ht="21.75" customHeight="1" x14ac:dyDescent="0.35">
      <c r="A33" s="75">
        <v>29</v>
      </c>
      <c r="B33" s="76"/>
      <c r="C33" s="77"/>
      <c r="D33" s="78"/>
      <c r="E33" s="76"/>
      <c r="F33" s="79"/>
      <c r="G33" s="79"/>
      <c r="H33" s="79"/>
      <c r="I33" s="80">
        <f>'الإفاقة القلبية'!$H33-'الإفاقة القلبية'!$F33</f>
        <v>0</v>
      </c>
      <c r="J33" s="81"/>
      <c r="K33" s="79"/>
      <c r="L33" s="80">
        <f>'الإفاقة القلبية'!$K33-'الإفاقة القلبية'!$G33</f>
        <v>0</v>
      </c>
      <c r="M33" s="76"/>
      <c r="N33" s="76"/>
      <c r="O33" s="74" t="str">
        <f>IF(Table6[[#This Row],[تاريخ حدوث توقف القلب
mm/dd/yyyy]]="","",TEXT(Table6[[#This Row],[تاريخ حدوث توقف القلب
mm/dd/yyyy]],"mmm-yyyy"))</f>
        <v/>
      </c>
      <c r="U33" s="62">
        <v>10</v>
      </c>
    </row>
    <row r="34" spans="1:21" s="91" customFormat="1" ht="21.75" customHeight="1" x14ac:dyDescent="0.35">
      <c r="A34" s="92">
        <v>30</v>
      </c>
      <c r="B34" s="93"/>
      <c r="C34" s="94"/>
      <c r="D34" s="95"/>
      <c r="E34" s="93"/>
      <c r="F34" s="96"/>
      <c r="G34" s="96"/>
      <c r="H34" s="96"/>
      <c r="I34" s="97">
        <f>'الإفاقة القلبية'!$H34-'الإفاقة القلبية'!$F34</f>
        <v>0</v>
      </c>
      <c r="J34" s="98"/>
      <c r="K34" s="96"/>
      <c r="L34" s="97">
        <f>'الإفاقة القلبية'!$K34-'الإفاقة القلبية'!$G34</f>
        <v>0</v>
      </c>
      <c r="M34" s="93"/>
      <c r="N34" s="93"/>
      <c r="O34" s="99" t="str">
        <f>IF(Table6[[#This Row],[تاريخ حدوث توقف القلب
mm/dd/yyyy]]="","",TEXT(Table6[[#This Row],[تاريخ حدوث توقف القلب
mm/dd/yyyy]],"mmm-yyyy"))</f>
        <v/>
      </c>
      <c r="U34" s="91">
        <v>10</v>
      </c>
    </row>
    <row r="35" spans="1:21" s="62" customFormat="1" ht="21.75" customHeight="1" x14ac:dyDescent="0.35">
      <c r="A35" s="75">
        <v>31</v>
      </c>
      <c r="B35" s="76"/>
      <c r="C35" s="77"/>
      <c r="D35" s="78"/>
      <c r="E35" s="76"/>
      <c r="F35" s="79"/>
      <c r="G35" s="79"/>
      <c r="H35" s="79"/>
      <c r="I35" s="80">
        <f>'الإفاقة القلبية'!$H35-'الإفاقة القلبية'!$F35</f>
        <v>0</v>
      </c>
      <c r="J35" s="81"/>
      <c r="K35" s="79"/>
      <c r="L35" s="80">
        <f>'الإفاقة القلبية'!$K35-'الإفاقة القلبية'!$G35</f>
        <v>0</v>
      </c>
      <c r="M35" s="76"/>
      <c r="N35" s="76"/>
      <c r="O35" s="74" t="str">
        <f>IF(Table6[[#This Row],[تاريخ حدوث توقف القلب
mm/dd/yyyy]]="","",TEXT(Table6[[#This Row],[تاريخ حدوث توقف القلب
mm/dd/yyyy]],"mmm-yyyy"))</f>
        <v/>
      </c>
      <c r="U35" s="62">
        <v>10</v>
      </c>
    </row>
    <row r="36" spans="1:21" s="91" customFormat="1" ht="21.75" customHeight="1" x14ac:dyDescent="0.35">
      <c r="A36" s="92">
        <v>32</v>
      </c>
      <c r="B36" s="93"/>
      <c r="C36" s="94"/>
      <c r="D36" s="95"/>
      <c r="E36" s="93"/>
      <c r="F36" s="96"/>
      <c r="G36" s="96"/>
      <c r="H36" s="96"/>
      <c r="I36" s="97">
        <f>'الإفاقة القلبية'!$H36-'الإفاقة القلبية'!$F36</f>
        <v>0</v>
      </c>
      <c r="J36" s="98"/>
      <c r="K36" s="96"/>
      <c r="L36" s="97">
        <f>'الإفاقة القلبية'!$K36-'الإفاقة القلبية'!$G36</f>
        <v>0</v>
      </c>
      <c r="M36" s="93"/>
      <c r="N36" s="93"/>
      <c r="O36" s="99" t="str">
        <f>IF(Table6[[#This Row],[تاريخ حدوث توقف القلب
mm/dd/yyyy]]="","",TEXT(Table6[[#This Row],[تاريخ حدوث توقف القلب
mm/dd/yyyy]],"mmm-yyyy"))</f>
        <v/>
      </c>
      <c r="U36" s="91">
        <v>10</v>
      </c>
    </row>
    <row r="37" spans="1:21" s="62" customFormat="1" ht="21.75" customHeight="1" x14ac:dyDescent="0.35">
      <c r="A37" s="75">
        <v>33</v>
      </c>
      <c r="B37" s="76"/>
      <c r="C37" s="77"/>
      <c r="D37" s="78"/>
      <c r="E37" s="76"/>
      <c r="F37" s="79"/>
      <c r="G37" s="79"/>
      <c r="H37" s="79"/>
      <c r="I37" s="80">
        <f>'الإفاقة القلبية'!$H37-'الإفاقة القلبية'!$F37</f>
        <v>0</v>
      </c>
      <c r="J37" s="81"/>
      <c r="K37" s="79"/>
      <c r="L37" s="80">
        <f>'الإفاقة القلبية'!$K37-'الإفاقة القلبية'!$G37</f>
        <v>0</v>
      </c>
      <c r="M37" s="76"/>
      <c r="N37" s="76"/>
      <c r="O37" s="74" t="str">
        <f>IF(Table6[[#This Row],[تاريخ حدوث توقف القلب
mm/dd/yyyy]]="","",TEXT(Table6[[#This Row],[تاريخ حدوث توقف القلب
mm/dd/yyyy]],"mmm-yyyy"))</f>
        <v/>
      </c>
      <c r="U37" s="62">
        <v>10</v>
      </c>
    </row>
    <row r="38" spans="1:21" s="91" customFormat="1" ht="21.75" customHeight="1" x14ac:dyDescent="0.35">
      <c r="A38" s="92">
        <v>34</v>
      </c>
      <c r="B38" s="93"/>
      <c r="C38" s="94"/>
      <c r="D38" s="95"/>
      <c r="E38" s="93"/>
      <c r="F38" s="96"/>
      <c r="G38" s="96"/>
      <c r="H38" s="96"/>
      <c r="I38" s="97">
        <f>'الإفاقة القلبية'!$H38-'الإفاقة القلبية'!$F38</f>
        <v>0</v>
      </c>
      <c r="J38" s="98"/>
      <c r="K38" s="96"/>
      <c r="L38" s="97">
        <f>'الإفاقة القلبية'!$K38-'الإفاقة القلبية'!$G38</f>
        <v>0</v>
      </c>
      <c r="M38" s="93"/>
      <c r="N38" s="93"/>
      <c r="O38" s="99" t="str">
        <f>IF(Table6[[#This Row],[تاريخ حدوث توقف القلب
mm/dd/yyyy]]="","",TEXT(Table6[[#This Row],[تاريخ حدوث توقف القلب
mm/dd/yyyy]],"mmm-yyyy"))</f>
        <v/>
      </c>
      <c r="U38" s="91">
        <v>10</v>
      </c>
    </row>
    <row r="39" spans="1:21" s="62" customFormat="1" ht="21.75" customHeight="1" x14ac:dyDescent="0.35">
      <c r="A39" s="75">
        <v>35</v>
      </c>
      <c r="B39" s="76"/>
      <c r="C39" s="77"/>
      <c r="D39" s="78"/>
      <c r="E39" s="76"/>
      <c r="F39" s="79"/>
      <c r="G39" s="79"/>
      <c r="H39" s="79"/>
      <c r="I39" s="80">
        <f>'الإفاقة القلبية'!$H39-'الإفاقة القلبية'!$F39</f>
        <v>0</v>
      </c>
      <c r="J39" s="81"/>
      <c r="K39" s="79"/>
      <c r="L39" s="80">
        <f>'الإفاقة القلبية'!$K39-'الإفاقة القلبية'!$G39</f>
        <v>0</v>
      </c>
      <c r="M39" s="76"/>
      <c r="N39" s="76"/>
      <c r="O39" s="74" t="str">
        <f>IF(Table6[[#This Row],[تاريخ حدوث توقف القلب
mm/dd/yyyy]]="","",TEXT(Table6[[#This Row],[تاريخ حدوث توقف القلب
mm/dd/yyyy]],"mmm-yyyy"))</f>
        <v/>
      </c>
      <c r="U39" s="62">
        <v>10</v>
      </c>
    </row>
    <row r="40" spans="1:21" s="91" customFormat="1" ht="21.75" customHeight="1" x14ac:dyDescent="0.35">
      <c r="A40" s="92">
        <v>36</v>
      </c>
      <c r="B40" s="93"/>
      <c r="C40" s="94"/>
      <c r="D40" s="95"/>
      <c r="E40" s="93"/>
      <c r="F40" s="96"/>
      <c r="G40" s="96"/>
      <c r="H40" s="96"/>
      <c r="I40" s="97">
        <f>'الإفاقة القلبية'!$H40-'الإفاقة القلبية'!$F40</f>
        <v>0</v>
      </c>
      <c r="J40" s="98"/>
      <c r="K40" s="96"/>
      <c r="L40" s="97">
        <f>'الإفاقة القلبية'!$K40-'الإفاقة القلبية'!$G40</f>
        <v>0</v>
      </c>
      <c r="M40" s="93"/>
      <c r="N40" s="93"/>
      <c r="O40" s="99" t="str">
        <f>IF(Table6[[#This Row],[تاريخ حدوث توقف القلب
mm/dd/yyyy]]="","",TEXT(Table6[[#This Row],[تاريخ حدوث توقف القلب
mm/dd/yyyy]],"mmm-yyyy"))</f>
        <v/>
      </c>
      <c r="U40" s="91">
        <v>10</v>
      </c>
    </row>
    <row r="41" spans="1:21" s="62" customFormat="1" ht="21.75" customHeight="1" x14ac:dyDescent="0.35">
      <c r="A41" s="75">
        <v>37</v>
      </c>
      <c r="B41" s="76"/>
      <c r="C41" s="77"/>
      <c r="D41" s="78"/>
      <c r="E41" s="76"/>
      <c r="F41" s="79"/>
      <c r="G41" s="79"/>
      <c r="H41" s="79"/>
      <c r="I41" s="80">
        <f>'الإفاقة القلبية'!$H41-'الإفاقة القلبية'!$F41</f>
        <v>0</v>
      </c>
      <c r="J41" s="81"/>
      <c r="K41" s="79"/>
      <c r="L41" s="80">
        <f>'الإفاقة القلبية'!$K41-'الإفاقة القلبية'!$G41</f>
        <v>0</v>
      </c>
      <c r="M41" s="76"/>
      <c r="N41" s="76"/>
      <c r="O41" s="74" t="str">
        <f>IF(Table6[[#This Row],[تاريخ حدوث توقف القلب
mm/dd/yyyy]]="","",TEXT(Table6[[#This Row],[تاريخ حدوث توقف القلب
mm/dd/yyyy]],"mmm-yyyy"))</f>
        <v/>
      </c>
      <c r="U41" s="62">
        <v>10</v>
      </c>
    </row>
    <row r="42" spans="1:21" s="91" customFormat="1" ht="21.75" customHeight="1" x14ac:dyDescent="0.35">
      <c r="A42" s="92">
        <v>38</v>
      </c>
      <c r="B42" s="93"/>
      <c r="C42" s="94"/>
      <c r="D42" s="95"/>
      <c r="E42" s="93"/>
      <c r="F42" s="96"/>
      <c r="G42" s="96"/>
      <c r="H42" s="96"/>
      <c r="I42" s="97">
        <f>'الإفاقة القلبية'!$H42-'الإفاقة القلبية'!$F42</f>
        <v>0</v>
      </c>
      <c r="J42" s="98"/>
      <c r="K42" s="96"/>
      <c r="L42" s="97">
        <f>'الإفاقة القلبية'!$K42-'الإفاقة القلبية'!$G42</f>
        <v>0</v>
      </c>
      <c r="M42" s="93"/>
      <c r="N42" s="93"/>
      <c r="O42" s="99" t="str">
        <f>IF(Table6[[#This Row],[تاريخ حدوث توقف القلب
mm/dd/yyyy]]="","",TEXT(Table6[[#This Row],[تاريخ حدوث توقف القلب
mm/dd/yyyy]],"mmm-yyyy"))</f>
        <v/>
      </c>
      <c r="U42" s="91">
        <v>10</v>
      </c>
    </row>
    <row r="43" spans="1:21" s="62" customFormat="1" ht="21.75" customHeight="1" x14ac:dyDescent="0.35">
      <c r="A43" s="75">
        <v>39</v>
      </c>
      <c r="B43" s="76"/>
      <c r="C43" s="77"/>
      <c r="D43" s="78"/>
      <c r="E43" s="76"/>
      <c r="F43" s="79"/>
      <c r="G43" s="79"/>
      <c r="H43" s="79"/>
      <c r="I43" s="80">
        <f>'الإفاقة القلبية'!$H43-'الإفاقة القلبية'!$F43</f>
        <v>0</v>
      </c>
      <c r="J43" s="81"/>
      <c r="K43" s="79"/>
      <c r="L43" s="80">
        <f>'الإفاقة القلبية'!$K43-'الإفاقة القلبية'!$G43</f>
        <v>0</v>
      </c>
      <c r="M43" s="76"/>
      <c r="N43" s="76"/>
      <c r="O43" s="74" t="str">
        <f>IF(Table6[[#This Row],[تاريخ حدوث توقف القلب
mm/dd/yyyy]]="","",TEXT(Table6[[#This Row],[تاريخ حدوث توقف القلب
mm/dd/yyyy]],"mmm-yyyy"))</f>
        <v/>
      </c>
      <c r="U43" s="62">
        <v>10</v>
      </c>
    </row>
    <row r="44" spans="1:21" s="91" customFormat="1" ht="21.75" customHeight="1" x14ac:dyDescent="0.35">
      <c r="A44" s="92">
        <v>40</v>
      </c>
      <c r="B44" s="93"/>
      <c r="C44" s="94"/>
      <c r="D44" s="95"/>
      <c r="E44" s="93"/>
      <c r="F44" s="96"/>
      <c r="G44" s="96"/>
      <c r="H44" s="96"/>
      <c r="I44" s="97">
        <f>'الإفاقة القلبية'!$H44-'الإفاقة القلبية'!$F44</f>
        <v>0</v>
      </c>
      <c r="J44" s="98"/>
      <c r="K44" s="96"/>
      <c r="L44" s="97">
        <f>'الإفاقة القلبية'!$K44-'الإفاقة القلبية'!$G44</f>
        <v>0</v>
      </c>
      <c r="M44" s="93"/>
      <c r="N44" s="93"/>
      <c r="O44" s="99" t="str">
        <f>IF(Table6[[#This Row],[تاريخ حدوث توقف القلب
mm/dd/yyyy]]="","",TEXT(Table6[[#This Row],[تاريخ حدوث توقف القلب
mm/dd/yyyy]],"mmm-yyyy"))</f>
        <v/>
      </c>
      <c r="U44" s="91">
        <v>10</v>
      </c>
    </row>
    <row r="45" spans="1:21" s="62" customFormat="1" ht="21.75" customHeight="1" x14ac:dyDescent="0.35">
      <c r="A45" s="75">
        <v>41</v>
      </c>
      <c r="B45" s="76"/>
      <c r="C45" s="77"/>
      <c r="D45" s="78"/>
      <c r="E45" s="76"/>
      <c r="F45" s="79"/>
      <c r="G45" s="79"/>
      <c r="H45" s="79"/>
      <c r="I45" s="80">
        <f>'الإفاقة القلبية'!$H45-'الإفاقة القلبية'!$F45</f>
        <v>0</v>
      </c>
      <c r="J45" s="81"/>
      <c r="K45" s="79"/>
      <c r="L45" s="80">
        <f>'الإفاقة القلبية'!$K45-'الإفاقة القلبية'!$G45</f>
        <v>0</v>
      </c>
      <c r="M45" s="76"/>
      <c r="N45" s="76"/>
      <c r="O45" s="74" t="str">
        <f>IF(Table6[[#This Row],[تاريخ حدوث توقف القلب
mm/dd/yyyy]]="","",TEXT(Table6[[#This Row],[تاريخ حدوث توقف القلب
mm/dd/yyyy]],"mmm-yyyy"))</f>
        <v/>
      </c>
      <c r="U45" s="62">
        <v>10</v>
      </c>
    </row>
    <row r="46" spans="1:21" s="91" customFormat="1" ht="21.75" customHeight="1" x14ac:dyDescent="0.35">
      <c r="A46" s="92">
        <v>42</v>
      </c>
      <c r="B46" s="93"/>
      <c r="C46" s="94"/>
      <c r="D46" s="95"/>
      <c r="E46" s="93"/>
      <c r="F46" s="96"/>
      <c r="G46" s="96"/>
      <c r="H46" s="96"/>
      <c r="I46" s="97">
        <f>'الإفاقة القلبية'!$H46-'الإفاقة القلبية'!$F46</f>
        <v>0</v>
      </c>
      <c r="J46" s="98"/>
      <c r="K46" s="96"/>
      <c r="L46" s="97">
        <f>'الإفاقة القلبية'!$K46-'الإفاقة القلبية'!$G46</f>
        <v>0</v>
      </c>
      <c r="M46" s="93"/>
      <c r="N46" s="93"/>
      <c r="O46" s="99" t="str">
        <f>IF(Table6[[#This Row],[تاريخ حدوث توقف القلب
mm/dd/yyyy]]="","",TEXT(Table6[[#This Row],[تاريخ حدوث توقف القلب
mm/dd/yyyy]],"mmm-yyyy"))</f>
        <v/>
      </c>
      <c r="U46" s="91">
        <v>10</v>
      </c>
    </row>
    <row r="47" spans="1:21" s="62" customFormat="1" ht="21.75" customHeight="1" x14ac:dyDescent="0.35">
      <c r="A47" s="75">
        <v>43</v>
      </c>
      <c r="B47" s="76"/>
      <c r="C47" s="77"/>
      <c r="D47" s="78"/>
      <c r="E47" s="76"/>
      <c r="F47" s="79"/>
      <c r="G47" s="79"/>
      <c r="H47" s="79"/>
      <c r="I47" s="80">
        <f>'الإفاقة القلبية'!$H47-'الإفاقة القلبية'!$F47</f>
        <v>0</v>
      </c>
      <c r="J47" s="81"/>
      <c r="K47" s="79"/>
      <c r="L47" s="80">
        <f>'الإفاقة القلبية'!$K47-'الإفاقة القلبية'!$G47</f>
        <v>0</v>
      </c>
      <c r="M47" s="76"/>
      <c r="N47" s="76"/>
      <c r="O47" s="74" t="str">
        <f>IF(Table6[[#This Row],[تاريخ حدوث توقف القلب
mm/dd/yyyy]]="","",TEXT(Table6[[#This Row],[تاريخ حدوث توقف القلب
mm/dd/yyyy]],"mmm-yyyy"))</f>
        <v/>
      </c>
      <c r="U47" s="62">
        <v>10</v>
      </c>
    </row>
    <row r="48" spans="1:21" s="91" customFormat="1" ht="21.75" customHeight="1" x14ac:dyDescent="0.35">
      <c r="A48" s="92">
        <v>44</v>
      </c>
      <c r="B48" s="93"/>
      <c r="C48" s="94"/>
      <c r="D48" s="95"/>
      <c r="E48" s="93"/>
      <c r="F48" s="96"/>
      <c r="G48" s="96"/>
      <c r="H48" s="96"/>
      <c r="I48" s="97">
        <f>'الإفاقة القلبية'!$H48-'الإفاقة القلبية'!$F48</f>
        <v>0</v>
      </c>
      <c r="J48" s="98"/>
      <c r="K48" s="96"/>
      <c r="L48" s="97">
        <f>'الإفاقة القلبية'!$K48-'الإفاقة القلبية'!$G48</f>
        <v>0</v>
      </c>
      <c r="M48" s="93"/>
      <c r="N48" s="93"/>
      <c r="O48" s="99" t="str">
        <f>IF(Table6[[#This Row],[تاريخ حدوث توقف القلب
mm/dd/yyyy]]="","",TEXT(Table6[[#This Row],[تاريخ حدوث توقف القلب
mm/dd/yyyy]],"mmm-yyyy"))</f>
        <v/>
      </c>
      <c r="U48" s="91">
        <v>10</v>
      </c>
    </row>
    <row r="49" spans="1:21" s="62" customFormat="1" ht="21.75" customHeight="1" x14ac:dyDescent="0.35">
      <c r="A49" s="75">
        <v>45</v>
      </c>
      <c r="B49" s="76"/>
      <c r="C49" s="77"/>
      <c r="D49" s="78"/>
      <c r="E49" s="76"/>
      <c r="F49" s="79"/>
      <c r="G49" s="79"/>
      <c r="H49" s="79"/>
      <c r="I49" s="80">
        <f>'الإفاقة القلبية'!$H49-'الإفاقة القلبية'!$F49</f>
        <v>0</v>
      </c>
      <c r="J49" s="81"/>
      <c r="K49" s="79"/>
      <c r="L49" s="80">
        <f>'الإفاقة القلبية'!$K49-'الإفاقة القلبية'!$G49</f>
        <v>0</v>
      </c>
      <c r="M49" s="76"/>
      <c r="N49" s="76"/>
      <c r="O49" s="74" t="str">
        <f>IF(Table6[[#This Row],[تاريخ حدوث توقف القلب
mm/dd/yyyy]]="","",TEXT(Table6[[#This Row],[تاريخ حدوث توقف القلب
mm/dd/yyyy]],"mmm-yyyy"))</f>
        <v/>
      </c>
      <c r="U49" s="62">
        <v>10</v>
      </c>
    </row>
    <row r="50" spans="1:21" s="91" customFormat="1" ht="21.75" customHeight="1" x14ac:dyDescent="0.35">
      <c r="A50" s="92">
        <v>46</v>
      </c>
      <c r="B50" s="93"/>
      <c r="C50" s="94"/>
      <c r="D50" s="95"/>
      <c r="E50" s="93"/>
      <c r="F50" s="96"/>
      <c r="G50" s="96"/>
      <c r="H50" s="96"/>
      <c r="I50" s="97">
        <f>'الإفاقة القلبية'!$H50-'الإفاقة القلبية'!$F50</f>
        <v>0</v>
      </c>
      <c r="J50" s="98"/>
      <c r="K50" s="96"/>
      <c r="L50" s="97">
        <f>'الإفاقة القلبية'!$K50-'الإفاقة القلبية'!$G50</f>
        <v>0</v>
      </c>
      <c r="M50" s="93"/>
      <c r="N50" s="93"/>
      <c r="O50" s="99" t="str">
        <f>IF(Table6[[#This Row],[تاريخ حدوث توقف القلب
mm/dd/yyyy]]="","",TEXT(Table6[[#This Row],[تاريخ حدوث توقف القلب
mm/dd/yyyy]],"mmm-yyyy"))</f>
        <v/>
      </c>
      <c r="U50" s="91">
        <v>10</v>
      </c>
    </row>
    <row r="51" spans="1:21" s="62" customFormat="1" ht="21.75" customHeight="1" x14ac:dyDescent="0.35">
      <c r="A51" s="75">
        <v>47</v>
      </c>
      <c r="B51" s="76"/>
      <c r="C51" s="77"/>
      <c r="D51" s="78"/>
      <c r="E51" s="76"/>
      <c r="F51" s="79"/>
      <c r="G51" s="79"/>
      <c r="H51" s="79"/>
      <c r="I51" s="80">
        <f>'الإفاقة القلبية'!$H51-'الإفاقة القلبية'!$F51</f>
        <v>0</v>
      </c>
      <c r="J51" s="81"/>
      <c r="K51" s="79"/>
      <c r="L51" s="80">
        <f>'الإفاقة القلبية'!$K51-'الإفاقة القلبية'!$G51</f>
        <v>0</v>
      </c>
      <c r="M51" s="76"/>
      <c r="N51" s="76"/>
      <c r="O51" s="74" t="str">
        <f>IF(Table6[[#This Row],[تاريخ حدوث توقف القلب
mm/dd/yyyy]]="","",TEXT(Table6[[#This Row],[تاريخ حدوث توقف القلب
mm/dd/yyyy]],"mmm-yyyy"))</f>
        <v/>
      </c>
      <c r="U51" s="62">
        <v>10</v>
      </c>
    </row>
    <row r="52" spans="1:21" s="91" customFormat="1" ht="21.75" customHeight="1" x14ac:dyDescent="0.35">
      <c r="A52" s="92">
        <v>48</v>
      </c>
      <c r="B52" s="93"/>
      <c r="C52" s="94"/>
      <c r="D52" s="95"/>
      <c r="E52" s="93"/>
      <c r="F52" s="96"/>
      <c r="G52" s="96"/>
      <c r="H52" s="96"/>
      <c r="I52" s="97">
        <f>'الإفاقة القلبية'!$H52-'الإفاقة القلبية'!$F52</f>
        <v>0</v>
      </c>
      <c r="J52" s="98"/>
      <c r="K52" s="96"/>
      <c r="L52" s="97">
        <f>'الإفاقة القلبية'!$K52-'الإفاقة القلبية'!$G52</f>
        <v>0</v>
      </c>
      <c r="M52" s="93"/>
      <c r="N52" s="93"/>
      <c r="O52" s="99" t="str">
        <f>IF(Table6[[#This Row],[تاريخ حدوث توقف القلب
mm/dd/yyyy]]="","",TEXT(Table6[[#This Row],[تاريخ حدوث توقف القلب
mm/dd/yyyy]],"mmm-yyyy"))</f>
        <v/>
      </c>
      <c r="U52" s="91">
        <v>10</v>
      </c>
    </row>
    <row r="53" spans="1:21" s="62" customFormat="1" ht="21.75" customHeight="1" x14ac:dyDescent="0.35">
      <c r="A53" s="75">
        <v>49</v>
      </c>
      <c r="B53" s="76"/>
      <c r="C53" s="77"/>
      <c r="D53" s="78"/>
      <c r="E53" s="76"/>
      <c r="F53" s="79"/>
      <c r="G53" s="79"/>
      <c r="H53" s="79"/>
      <c r="I53" s="80">
        <f>'الإفاقة القلبية'!$H53-'الإفاقة القلبية'!$F53</f>
        <v>0</v>
      </c>
      <c r="J53" s="81"/>
      <c r="K53" s="79"/>
      <c r="L53" s="80">
        <f>'الإفاقة القلبية'!$K53-'الإفاقة القلبية'!$G53</f>
        <v>0</v>
      </c>
      <c r="M53" s="76"/>
      <c r="N53" s="76"/>
      <c r="O53" s="74" t="str">
        <f>IF(Table6[[#This Row],[تاريخ حدوث توقف القلب
mm/dd/yyyy]]="","",TEXT(Table6[[#This Row],[تاريخ حدوث توقف القلب
mm/dd/yyyy]],"mmm-yyyy"))</f>
        <v/>
      </c>
      <c r="U53" s="62">
        <v>10</v>
      </c>
    </row>
    <row r="54" spans="1:21" s="91" customFormat="1" ht="21.75" customHeight="1" x14ac:dyDescent="0.35">
      <c r="A54" s="92">
        <v>50</v>
      </c>
      <c r="B54" s="93"/>
      <c r="C54" s="94"/>
      <c r="D54" s="95"/>
      <c r="E54" s="93"/>
      <c r="F54" s="96"/>
      <c r="G54" s="96"/>
      <c r="H54" s="96"/>
      <c r="I54" s="97">
        <f>'الإفاقة القلبية'!$H54-'الإفاقة القلبية'!$F54</f>
        <v>0</v>
      </c>
      <c r="J54" s="98"/>
      <c r="K54" s="96"/>
      <c r="L54" s="97">
        <f>'الإفاقة القلبية'!$K54-'الإفاقة القلبية'!$G54</f>
        <v>0</v>
      </c>
      <c r="M54" s="93"/>
      <c r="N54" s="93"/>
      <c r="O54" s="99" t="str">
        <f>IF(Table6[[#This Row],[تاريخ حدوث توقف القلب
mm/dd/yyyy]]="","",TEXT(Table6[[#This Row],[تاريخ حدوث توقف القلب
mm/dd/yyyy]],"mmm-yyyy"))</f>
        <v/>
      </c>
      <c r="U54" s="91">
        <v>10</v>
      </c>
    </row>
    <row r="55" spans="1:21" s="62" customFormat="1" ht="21.75" customHeight="1" x14ac:dyDescent="0.35">
      <c r="A55" s="75">
        <v>51</v>
      </c>
      <c r="B55" s="76"/>
      <c r="C55" s="77"/>
      <c r="D55" s="78"/>
      <c r="E55" s="76"/>
      <c r="F55" s="79"/>
      <c r="G55" s="79"/>
      <c r="H55" s="79"/>
      <c r="I55" s="80">
        <f>'الإفاقة القلبية'!$H55-'الإفاقة القلبية'!$F55</f>
        <v>0</v>
      </c>
      <c r="J55" s="81"/>
      <c r="K55" s="79"/>
      <c r="L55" s="80">
        <f>'الإفاقة القلبية'!$K55-'الإفاقة القلبية'!$G55</f>
        <v>0</v>
      </c>
      <c r="M55" s="76"/>
      <c r="N55" s="76"/>
      <c r="O55" s="74" t="str">
        <f>IF(Table6[[#This Row],[تاريخ حدوث توقف القلب
mm/dd/yyyy]]="","",TEXT(Table6[[#This Row],[تاريخ حدوث توقف القلب
mm/dd/yyyy]],"mmm-yyyy"))</f>
        <v/>
      </c>
      <c r="U55" s="62">
        <v>10</v>
      </c>
    </row>
    <row r="56" spans="1:21" s="91" customFormat="1" ht="21.75" customHeight="1" x14ac:dyDescent="0.35">
      <c r="A56" s="92">
        <v>52</v>
      </c>
      <c r="B56" s="93"/>
      <c r="C56" s="94"/>
      <c r="D56" s="95"/>
      <c r="E56" s="93"/>
      <c r="F56" s="96"/>
      <c r="G56" s="96"/>
      <c r="H56" s="96"/>
      <c r="I56" s="97">
        <f>'الإفاقة القلبية'!$H56-'الإفاقة القلبية'!$F56</f>
        <v>0</v>
      </c>
      <c r="J56" s="98"/>
      <c r="K56" s="96"/>
      <c r="L56" s="97">
        <f>'الإفاقة القلبية'!$K56-'الإفاقة القلبية'!$G56</f>
        <v>0</v>
      </c>
      <c r="M56" s="93"/>
      <c r="N56" s="93"/>
      <c r="O56" s="99" t="str">
        <f>IF(Table6[[#This Row],[تاريخ حدوث توقف القلب
mm/dd/yyyy]]="","",TEXT(Table6[[#This Row],[تاريخ حدوث توقف القلب
mm/dd/yyyy]],"mmm-yyyy"))</f>
        <v/>
      </c>
      <c r="U56" s="91">
        <v>10</v>
      </c>
    </row>
    <row r="57" spans="1:21" s="62" customFormat="1" ht="21.75" customHeight="1" x14ac:dyDescent="0.35">
      <c r="A57" s="75">
        <v>53</v>
      </c>
      <c r="B57" s="76"/>
      <c r="C57" s="77"/>
      <c r="D57" s="78"/>
      <c r="E57" s="76"/>
      <c r="F57" s="79"/>
      <c r="G57" s="79"/>
      <c r="H57" s="79"/>
      <c r="I57" s="80">
        <f>'الإفاقة القلبية'!$H57-'الإفاقة القلبية'!$F57</f>
        <v>0</v>
      </c>
      <c r="J57" s="81"/>
      <c r="K57" s="79"/>
      <c r="L57" s="80">
        <f>'الإفاقة القلبية'!$K57-'الإفاقة القلبية'!$G57</f>
        <v>0</v>
      </c>
      <c r="M57" s="76"/>
      <c r="N57" s="76"/>
      <c r="O57" s="74" t="str">
        <f>IF(Table6[[#This Row],[تاريخ حدوث توقف القلب
mm/dd/yyyy]]="","",TEXT(Table6[[#This Row],[تاريخ حدوث توقف القلب
mm/dd/yyyy]],"mmm-yyyy"))</f>
        <v/>
      </c>
      <c r="U57" s="62">
        <v>10</v>
      </c>
    </row>
    <row r="58" spans="1:21" s="91" customFormat="1" ht="21.75" customHeight="1" x14ac:dyDescent="0.35">
      <c r="A58" s="92">
        <v>54</v>
      </c>
      <c r="B58" s="93"/>
      <c r="C58" s="94"/>
      <c r="D58" s="95"/>
      <c r="E58" s="93"/>
      <c r="F58" s="96"/>
      <c r="G58" s="96"/>
      <c r="H58" s="96"/>
      <c r="I58" s="97">
        <f>'الإفاقة القلبية'!$H58-'الإفاقة القلبية'!$F58</f>
        <v>0</v>
      </c>
      <c r="J58" s="98"/>
      <c r="K58" s="96"/>
      <c r="L58" s="97">
        <f>'الإفاقة القلبية'!$K58-'الإفاقة القلبية'!$G58</f>
        <v>0</v>
      </c>
      <c r="M58" s="93"/>
      <c r="N58" s="93"/>
      <c r="O58" s="99" t="str">
        <f>IF(Table6[[#This Row],[تاريخ حدوث توقف القلب
mm/dd/yyyy]]="","",TEXT(Table6[[#This Row],[تاريخ حدوث توقف القلب
mm/dd/yyyy]],"mmm-yyyy"))</f>
        <v/>
      </c>
      <c r="U58" s="91">
        <v>10</v>
      </c>
    </row>
    <row r="59" spans="1:21" s="62" customFormat="1" ht="21.75" customHeight="1" x14ac:dyDescent="0.35">
      <c r="A59" s="75">
        <v>55</v>
      </c>
      <c r="B59" s="76"/>
      <c r="C59" s="77"/>
      <c r="D59" s="78"/>
      <c r="E59" s="76"/>
      <c r="F59" s="79"/>
      <c r="G59" s="79"/>
      <c r="H59" s="79"/>
      <c r="I59" s="80">
        <f>'الإفاقة القلبية'!$H59-'الإفاقة القلبية'!$F59</f>
        <v>0</v>
      </c>
      <c r="J59" s="81"/>
      <c r="K59" s="79"/>
      <c r="L59" s="80">
        <f>'الإفاقة القلبية'!$K59-'الإفاقة القلبية'!$G59</f>
        <v>0</v>
      </c>
      <c r="M59" s="76"/>
      <c r="N59" s="76"/>
      <c r="O59" s="74" t="str">
        <f>IF(Table6[[#This Row],[تاريخ حدوث توقف القلب
mm/dd/yyyy]]="","",TEXT(Table6[[#This Row],[تاريخ حدوث توقف القلب
mm/dd/yyyy]],"mmm-yyyy"))</f>
        <v/>
      </c>
      <c r="U59" s="62">
        <v>10</v>
      </c>
    </row>
    <row r="60" spans="1:21" s="91" customFormat="1" ht="21.75" customHeight="1" x14ac:dyDescent="0.35">
      <c r="A60" s="92">
        <v>56</v>
      </c>
      <c r="B60" s="93"/>
      <c r="C60" s="94"/>
      <c r="D60" s="95"/>
      <c r="E60" s="93"/>
      <c r="F60" s="96"/>
      <c r="G60" s="96"/>
      <c r="H60" s="96"/>
      <c r="I60" s="97">
        <f>'الإفاقة القلبية'!$H60-'الإفاقة القلبية'!$F60</f>
        <v>0</v>
      </c>
      <c r="J60" s="98"/>
      <c r="K60" s="96"/>
      <c r="L60" s="97">
        <f>'الإفاقة القلبية'!$K60-'الإفاقة القلبية'!$G60</f>
        <v>0</v>
      </c>
      <c r="M60" s="93"/>
      <c r="N60" s="93"/>
      <c r="O60" s="99" t="str">
        <f>IF(Table6[[#This Row],[تاريخ حدوث توقف القلب
mm/dd/yyyy]]="","",TEXT(Table6[[#This Row],[تاريخ حدوث توقف القلب
mm/dd/yyyy]],"mmm-yyyy"))</f>
        <v/>
      </c>
      <c r="U60" s="91">
        <v>10</v>
      </c>
    </row>
    <row r="61" spans="1:21" s="62" customFormat="1" ht="21.75" customHeight="1" x14ac:dyDescent="0.35">
      <c r="A61" s="75">
        <v>57</v>
      </c>
      <c r="B61" s="76"/>
      <c r="C61" s="77"/>
      <c r="D61" s="78"/>
      <c r="E61" s="76"/>
      <c r="F61" s="79"/>
      <c r="G61" s="79"/>
      <c r="H61" s="79"/>
      <c r="I61" s="80">
        <f>'الإفاقة القلبية'!$H61-'الإفاقة القلبية'!$F61</f>
        <v>0</v>
      </c>
      <c r="J61" s="81"/>
      <c r="K61" s="79"/>
      <c r="L61" s="80">
        <f>'الإفاقة القلبية'!$K61-'الإفاقة القلبية'!$G61</f>
        <v>0</v>
      </c>
      <c r="M61" s="76"/>
      <c r="N61" s="76"/>
      <c r="O61" s="74" t="str">
        <f>IF(Table6[[#This Row],[تاريخ حدوث توقف القلب
mm/dd/yyyy]]="","",TEXT(Table6[[#This Row],[تاريخ حدوث توقف القلب
mm/dd/yyyy]],"mmm-yyyy"))</f>
        <v/>
      </c>
      <c r="U61" s="62">
        <v>10</v>
      </c>
    </row>
    <row r="62" spans="1:21" s="91" customFormat="1" ht="21.75" customHeight="1" x14ac:dyDescent="0.35">
      <c r="A62" s="92">
        <v>58</v>
      </c>
      <c r="B62" s="93"/>
      <c r="C62" s="94"/>
      <c r="D62" s="95"/>
      <c r="E62" s="93"/>
      <c r="F62" s="96"/>
      <c r="G62" s="96"/>
      <c r="H62" s="96"/>
      <c r="I62" s="97">
        <f>'الإفاقة القلبية'!$H62-'الإفاقة القلبية'!$F62</f>
        <v>0</v>
      </c>
      <c r="J62" s="98"/>
      <c r="K62" s="96"/>
      <c r="L62" s="97">
        <f>'الإفاقة القلبية'!$K62-'الإفاقة القلبية'!$G62</f>
        <v>0</v>
      </c>
      <c r="M62" s="93"/>
      <c r="N62" s="93"/>
      <c r="O62" s="99" t="str">
        <f>IF(Table6[[#This Row],[تاريخ حدوث توقف القلب
mm/dd/yyyy]]="","",TEXT(Table6[[#This Row],[تاريخ حدوث توقف القلب
mm/dd/yyyy]],"mmm-yyyy"))</f>
        <v/>
      </c>
      <c r="U62" s="91">
        <v>10</v>
      </c>
    </row>
    <row r="63" spans="1:21" s="62" customFormat="1" ht="21.75" customHeight="1" x14ac:dyDescent="0.35">
      <c r="A63" s="75">
        <v>59</v>
      </c>
      <c r="B63" s="76"/>
      <c r="C63" s="77"/>
      <c r="D63" s="78"/>
      <c r="E63" s="76"/>
      <c r="F63" s="79"/>
      <c r="G63" s="79"/>
      <c r="H63" s="79"/>
      <c r="I63" s="80">
        <f>'الإفاقة القلبية'!$H63-'الإفاقة القلبية'!$F63</f>
        <v>0</v>
      </c>
      <c r="J63" s="81"/>
      <c r="K63" s="79"/>
      <c r="L63" s="80">
        <f>'الإفاقة القلبية'!$K63-'الإفاقة القلبية'!$G63</f>
        <v>0</v>
      </c>
      <c r="M63" s="76"/>
      <c r="N63" s="76"/>
      <c r="O63" s="74" t="str">
        <f>IF(Table6[[#This Row],[تاريخ حدوث توقف القلب
mm/dd/yyyy]]="","",TEXT(Table6[[#This Row],[تاريخ حدوث توقف القلب
mm/dd/yyyy]],"mmm-yyyy"))</f>
        <v/>
      </c>
      <c r="U63" s="62">
        <v>10</v>
      </c>
    </row>
    <row r="64" spans="1:21" s="91" customFormat="1" ht="21.75" customHeight="1" x14ac:dyDescent="0.35">
      <c r="A64" s="92">
        <v>60</v>
      </c>
      <c r="B64" s="93"/>
      <c r="C64" s="94"/>
      <c r="D64" s="95"/>
      <c r="E64" s="93"/>
      <c r="F64" s="96"/>
      <c r="G64" s="96"/>
      <c r="H64" s="96"/>
      <c r="I64" s="97">
        <f>'الإفاقة القلبية'!$H64-'الإفاقة القلبية'!$F64</f>
        <v>0</v>
      </c>
      <c r="J64" s="98"/>
      <c r="K64" s="96"/>
      <c r="L64" s="97">
        <f>'الإفاقة القلبية'!$K64-'الإفاقة القلبية'!$G64</f>
        <v>0</v>
      </c>
      <c r="M64" s="93"/>
      <c r="N64" s="93"/>
      <c r="O64" s="99" t="str">
        <f>IF(Table6[[#This Row],[تاريخ حدوث توقف القلب
mm/dd/yyyy]]="","",TEXT(Table6[[#This Row],[تاريخ حدوث توقف القلب
mm/dd/yyyy]],"mmm-yyyy"))</f>
        <v/>
      </c>
      <c r="U64" s="91">
        <v>10</v>
      </c>
    </row>
    <row r="65" spans="1:21" s="62" customFormat="1" ht="21.75" customHeight="1" x14ac:dyDescent="0.35">
      <c r="A65" s="75">
        <v>61</v>
      </c>
      <c r="B65" s="76"/>
      <c r="C65" s="77"/>
      <c r="D65" s="78"/>
      <c r="E65" s="76"/>
      <c r="F65" s="79"/>
      <c r="G65" s="79"/>
      <c r="H65" s="79"/>
      <c r="I65" s="80">
        <f>'الإفاقة القلبية'!$H65-'الإفاقة القلبية'!$F65</f>
        <v>0</v>
      </c>
      <c r="J65" s="81"/>
      <c r="K65" s="79"/>
      <c r="L65" s="80">
        <f>'الإفاقة القلبية'!$K65-'الإفاقة القلبية'!$G65</f>
        <v>0</v>
      </c>
      <c r="M65" s="76"/>
      <c r="N65" s="76"/>
      <c r="O65" s="74" t="str">
        <f>IF(Table6[[#This Row],[تاريخ حدوث توقف القلب
mm/dd/yyyy]]="","",TEXT(Table6[[#This Row],[تاريخ حدوث توقف القلب
mm/dd/yyyy]],"mmm-yyyy"))</f>
        <v/>
      </c>
      <c r="U65" s="62">
        <v>10</v>
      </c>
    </row>
    <row r="66" spans="1:21" s="91" customFormat="1" ht="21.75" customHeight="1" x14ac:dyDescent="0.35">
      <c r="A66" s="92">
        <v>62</v>
      </c>
      <c r="B66" s="93"/>
      <c r="C66" s="94"/>
      <c r="D66" s="95"/>
      <c r="E66" s="93"/>
      <c r="F66" s="96"/>
      <c r="G66" s="96"/>
      <c r="H66" s="96"/>
      <c r="I66" s="97">
        <f>'الإفاقة القلبية'!$H66-'الإفاقة القلبية'!$F66</f>
        <v>0</v>
      </c>
      <c r="J66" s="98"/>
      <c r="K66" s="96"/>
      <c r="L66" s="97">
        <f>'الإفاقة القلبية'!$K66-'الإفاقة القلبية'!$G66</f>
        <v>0</v>
      </c>
      <c r="M66" s="93"/>
      <c r="N66" s="93"/>
      <c r="O66" s="99" t="str">
        <f>IF(Table6[[#This Row],[تاريخ حدوث توقف القلب
mm/dd/yyyy]]="","",TEXT(Table6[[#This Row],[تاريخ حدوث توقف القلب
mm/dd/yyyy]],"mmm-yyyy"))</f>
        <v/>
      </c>
      <c r="U66" s="91">
        <v>10</v>
      </c>
    </row>
    <row r="67" spans="1:21" s="62" customFormat="1" ht="21.75" customHeight="1" x14ac:dyDescent="0.35">
      <c r="A67" s="75">
        <v>63</v>
      </c>
      <c r="B67" s="76"/>
      <c r="C67" s="77"/>
      <c r="D67" s="78"/>
      <c r="E67" s="76"/>
      <c r="F67" s="79"/>
      <c r="G67" s="79"/>
      <c r="H67" s="79"/>
      <c r="I67" s="80">
        <f>'الإفاقة القلبية'!$H67-'الإفاقة القلبية'!$F67</f>
        <v>0</v>
      </c>
      <c r="J67" s="81"/>
      <c r="K67" s="79"/>
      <c r="L67" s="80">
        <f>'الإفاقة القلبية'!$K67-'الإفاقة القلبية'!$G67</f>
        <v>0</v>
      </c>
      <c r="M67" s="76"/>
      <c r="N67" s="76"/>
      <c r="O67" s="74" t="str">
        <f>IF(Table6[[#This Row],[تاريخ حدوث توقف القلب
mm/dd/yyyy]]="","",TEXT(Table6[[#This Row],[تاريخ حدوث توقف القلب
mm/dd/yyyy]],"mmm-yyyy"))</f>
        <v/>
      </c>
      <c r="U67" s="62">
        <v>10</v>
      </c>
    </row>
    <row r="68" spans="1:21" s="91" customFormat="1" ht="21.75" customHeight="1" x14ac:dyDescent="0.35">
      <c r="A68" s="92">
        <v>64</v>
      </c>
      <c r="B68" s="93"/>
      <c r="C68" s="94"/>
      <c r="D68" s="95"/>
      <c r="E68" s="93"/>
      <c r="F68" s="96"/>
      <c r="G68" s="96"/>
      <c r="H68" s="96"/>
      <c r="I68" s="97">
        <f>'الإفاقة القلبية'!$H68-'الإفاقة القلبية'!$F68</f>
        <v>0</v>
      </c>
      <c r="J68" s="98"/>
      <c r="K68" s="96"/>
      <c r="L68" s="97">
        <f>'الإفاقة القلبية'!$K68-'الإفاقة القلبية'!$G68</f>
        <v>0</v>
      </c>
      <c r="M68" s="93"/>
      <c r="N68" s="93"/>
      <c r="O68" s="99" t="str">
        <f>IF(Table6[[#This Row],[تاريخ حدوث توقف القلب
mm/dd/yyyy]]="","",TEXT(Table6[[#This Row],[تاريخ حدوث توقف القلب
mm/dd/yyyy]],"mmm-yyyy"))</f>
        <v/>
      </c>
      <c r="U68" s="91">
        <v>10</v>
      </c>
    </row>
    <row r="69" spans="1:21" s="62" customFormat="1" ht="21.75" customHeight="1" x14ac:dyDescent="0.35">
      <c r="A69" s="75">
        <v>65</v>
      </c>
      <c r="B69" s="76"/>
      <c r="C69" s="77"/>
      <c r="D69" s="78"/>
      <c r="E69" s="76"/>
      <c r="F69" s="79"/>
      <c r="G69" s="79"/>
      <c r="H69" s="79"/>
      <c r="I69" s="80">
        <f>'الإفاقة القلبية'!$H69-'الإفاقة القلبية'!$F69</f>
        <v>0</v>
      </c>
      <c r="J69" s="81"/>
      <c r="K69" s="79"/>
      <c r="L69" s="80">
        <f>'الإفاقة القلبية'!$K69-'الإفاقة القلبية'!$G69</f>
        <v>0</v>
      </c>
      <c r="M69" s="76"/>
      <c r="N69" s="76"/>
      <c r="O69" s="74" t="str">
        <f>IF(Table6[[#This Row],[تاريخ حدوث توقف القلب
mm/dd/yyyy]]="","",TEXT(Table6[[#This Row],[تاريخ حدوث توقف القلب
mm/dd/yyyy]],"mmm-yyyy"))</f>
        <v/>
      </c>
      <c r="U69" s="62">
        <v>10</v>
      </c>
    </row>
    <row r="70" spans="1:21" s="91" customFormat="1" ht="21.75" customHeight="1" x14ac:dyDescent="0.35">
      <c r="A70" s="92">
        <v>66</v>
      </c>
      <c r="B70" s="93"/>
      <c r="C70" s="94"/>
      <c r="D70" s="95"/>
      <c r="E70" s="93"/>
      <c r="F70" s="96"/>
      <c r="G70" s="96"/>
      <c r="H70" s="96"/>
      <c r="I70" s="97">
        <f>'الإفاقة القلبية'!$H70-'الإفاقة القلبية'!$F70</f>
        <v>0</v>
      </c>
      <c r="J70" s="98"/>
      <c r="K70" s="96"/>
      <c r="L70" s="97">
        <f>'الإفاقة القلبية'!$K70-'الإفاقة القلبية'!$G70</f>
        <v>0</v>
      </c>
      <c r="M70" s="93"/>
      <c r="N70" s="93"/>
      <c r="O70" s="99" t="str">
        <f>IF(Table6[[#This Row],[تاريخ حدوث توقف القلب
mm/dd/yyyy]]="","",TEXT(Table6[[#This Row],[تاريخ حدوث توقف القلب
mm/dd/yyyy]],"mmm-yyyy"))</f>
        <v/>
      </c>
      <c r="U70" s="91">
        <v>10</v>
      </c>
    </row>
    <row r="71" spans="1:21" s="62" customFormat="1" ht="21.75" customHeight="1" x14ac:dyDescent="0.35">
      <c r="A71" s="75">
        <v>67</v>
      </c>
      <c r="B71" s="76"/>
      <c r="C71" s="77"/>
      <c r="D71" s="78"/>
      <c r="E71" s="76"/>
      <c r="F71" s="79"/>
      <c r="G71" s="79"/>
      <c r="H71" s="79"/>
      <c r="I71" s="80">
        <f>'الإفاقة القلبية'!$H71-'الإفاقة القلبية'!$F71</f>
        <v>0</v>
      </c>
      <c r="J71" s="81"/>
      <c r="K71" s="79"/>
      <c r="L71" s="80">
        <f>'الإفاقة القلبية'!$K71-'الإفاقة القلبية'!$G71</f>
        <v>0</v>
      </c>
      <c r="M71" s="76"/>
      <c r="N71" s="76"/>
      <c r="O71" s="74" t="str">
        <f>IF(Table6[[#This Row],[تاريخ حدوث توقف القلب
mm/dd/yyyy]]="","",TEXT(Table6[[#This Row],[تاريخ حدوث توقف القلب
mm/dd/yyyy]],"mmm-yyyy"))</f>
        <v/>
      </c>
      <c r="U71" s="62">
        <v>10</v>
      </c>
    </row>
    <row r="72" spans="1:21" s="91" customFormat="1" ht="21.75" customHeight="1" x14ac:dyDescent="0.35">
      <c r="A72" s="92">
        <v>68</v>
      </c>
      <c r="B72" s="93"/>
      <c r="C72" s="94"/>
      <c r="D72" s="95"/>
      <c r="E72" s="93"/>
      <c r="F72" s="96"/>
      <c r="G72" s="96"/>
      <c r="H72" s="96"/>
      <c r="I72" s="97">
        <f>'الإفاقة القلبية'!$H72-'الإفاقة القلبية'!$F72</f>
        <v>0</v>
      </c>
      <c r="J72" s="98"/>
      <c r="K72" s="96"/>
      <c r="L72" s="97">
        <f>'الإفاقة القلبية'!$K72-'الإفاقة القلبية'!$G72</f>
        <v>0</v>
      </c>
      <c r="M72" s="93"/>
      <c r="N72" s="93"/>
      <c r="O72" s="99" t="str">
        <f>IF(Table6[[#This Row],[تاريخ حدوث توقف القلب
mm/dd/yyyy]]="","",TEXT(Table6[[#This Row],[تاريخ حدوث توقف القلب
mm/dd/yyyy]],"mmm-yyyy"))</f>
        <v/>
      </c>
      <c r="U72" s="91">
        <v>10</v>
      </c>
    </row>
    <row r="73" spans="1:21" s="62" customFormat="1" ht="21.75" customHeight="1" x14ac:dyDescent="0.35">
      <c r="A73" s="75">
        <v>69</v>
      </c>
      <c r="B73" s="76"/>
      <c r="C73" s="77"/>
      <c r="D73" s="78"/>
      <c r="E73" s="76"/>
      <c r="F73" s="79"/>
      <c r="G73" s="79"/>
      <c r="H73" s="79"/>
      <c r="I73" s="80">
        <f>'الإفاقة القلبية'!$H73-'الإفاقة القلبية'!$F73</f>
        <v>0</v>
      </c>
      <c r="J73" s="81"/>
      <c r="K73" s="79"/>
      <c r="L73" s="80">
        <f>'الإفاقة القلبية'!$K73-'الإفاقة القلبية'!$G73</f>
        <v>0</v>
      </c>
      <c r="M73" s="76"/>
      <c r="N73" s="76"/>
      <c r="O73" s="74" t="str">
        <f>IF(Table6[[#This Row],[تاريخ حدوث توقف القلب
mm/dd/yyyy]]="","",TEXT(Table6[[#This Row],[تاريخ حدوث توقف القلب
mm/dd/yyyy]],"mmm-yyyy"))</f>
        <v/>
      </c>
      <c r="U73" s="62">
        <v>10</v>
      </c>
    </row>
    <row r="74" spans="1:21" s="91" customFormat="1" ht="21.75" customHeight="1" x14ac:dyDescent="0.35">
      <c r="A74" s="92">
        <v>70</v>
      </c>
      <c r="B74" s="93"/>
      <c r="C74" s="94"/>
      <c r="D74" s="95"/>
      <c r="E74" s="93"/>
      <c r="F74" s="96"/>
      <c r="G74" s="96"/>
      <c r="H74" s="96"/>
      <c r="I74" s="97">
        <f>'الإفاقة القلبية'!$H74-'الإفاقة القلبية'!$F74</f>
        <v>0</v>
      </c>
      <c r="J74" s="98"/>
      <c r="K74" s="96"/>
      <c r="L74" s="97">
        <f>'الإفاقة القلبية'!$K74-'الإفاقة القلبية'!$G74</f>
        <v>0</v>
      </c>
      <c r="M74" s="93"/>
      <c r="N74" s="93"/>
      <c r="O74" s="99" t="str">
        <f>IF(Table6[[#This Row],[تاريخ حدوث توقف القلب
mm/dd/yyyy]]="","",TEXT(Table6[[#This Row],[تاريخ حدوث توقف القلب
mm/dd/yyyy]],"mmm-yyyy"))</f>
        <v/>
      </c>
      <c r="U74" s="91">
        <v>10</v>
      </c>
    </row>
    <row r="75" spans="1:21" s="62" customFormat="1" ht="21.75" customHeight="1" x14ac:dyDescent="0.35">
      <c r="A75" s="75">
        <v>71</v>
      </c>
      <c r="B75" s="76"/>
      <c r="C75" s="77"/>
      <c r="D75" s="78"/>
      <c r="E75" s="76"/>
      <c r="F75" s="79"/>
      <c r="G75" s="79"/>
      <c r="H75" s="79"/>
      <c r="I75" s="80">
        <f>'الإفاقة القلبية'!$H75-'الإفاقة القلبية'!$F75</f>
        <v>0</v>
      </c>
      <c r="J75" s="81"/>
      <c r="K75" s="79"/>
      <c r="L75" s="80">
        <f>'الإفاقة القلبية'!$K75-'الإفاقة القلبية'!$G75</f>
        <v>0</v>
      </c>
      <c r="M75" s="76"/>
      <c r="N75" s="76"/>
      <c r="O75" s="74" t="str">
        <f>IF(Table6[[#This Row],[تاريخ حدوث توقف القلب
mm/dd/yyyy]]="","",TEXT(Table6[[#This Row],[تاريخ حدوث توقف القلب
mm/dd/yyyy]],"mmm-yyyy"))</f>
        <v/>
      </c>
      <c r="U75" s="62">
        <v>10</v>
      </c>
    </row>
    <row r="76" spans="1:21" s="91" customFormat="1" ht="21.75" customHeight="1" x14ac:dyDescent="0.35">
      <c r="A76" s="92">
        <v>72</v>
      </c>
      <c r="B76" s="93"/>
      <c r="C76" s="94"/>
      <c r="D76" s="95"/>
      <c r="E76" s="93"/>
      <c r="F76" s="96"/>
      <c r="G76" s="96"/>
      <c r="H76" s="96"/>
      <c r="I76" s="97">
        <f>'الإفاقة القلبية'!$H76-'الإفاقة القلبية'!$F76</f>
        <v>0</v>
      </c>
      <c r="J76" s="98"/>
      <c r="K76" s="96"/>
      <c r="L76" s="97">
        <f>'الإفاقة القلبية'!$K76-'الإفاقة القلبية'!$G76</f>
        <v>0</v>
      </c>
      <c r="M76" s="93"/>
      <c r="N76" s="93"/>
      <c r="O76" s="99" t="str">
        <f>IF(Table6[[#This Row],[تاريخ حدوث توقف القلب
mm/dd/yyyy]]="","",TEXT(Table6[[#This Row],[تاريخ حدوث توقف القلب
mm/dd/yyyy]],"mmm-yyyy"))</f>
        <v/>
      </c>
      <c r="U76" s="91">
        <v>10</v>
      </c>
    </row>
    <row r="77" spans="1:21" s="62" customFormat="1" ht="21.75" customHeight="1" x14ac:dyDescent="0.35">
      <c r="A77" s="75">
        <v>73</v>
      </c>
      <c r="B77" s="76"/>
      <c r="C77" s="77"/>
      <c r="D77" s="78"/>
      <c r="E77" s="76"/>
      <c r="F77" s="79"/>
      <c r="G77" s="79"/>
      <c r="H77" s="79"/>
      <c r="I77" s="80">
        <f>'الإفاقة القلبية'!$H77-'الإفاقة القلبية'!$F77</f>
        <v>0</v>
      </c>
      <c r="J77" s="81"/>
      <c r="K77" s="79"/>
      <c r="L77" s="80">
        <f>'الإفاقة القلبية'!$K77-'الإفاقة القلبية'!$G77</f>
        <v>0</v>
      </c>
      <c r="M77" s="76"/>
      <c r="N77" s="76"/>
      <c r="O77" s="74" t="str">
        <f>IF(Table6[[#This Row],[تاريخ حدوث توقف القلب
mm/dd/yyyy]]="","",TEXT(Table6[[#This Row],[تاريخ حدوث توقف القلب
mm/dd/yyyy]],"mmm-yyyy"))</f>
        <v/>
      </c>
      <c r="U77" s="62">
        <v>10</v>
      </c>
    </row>
    <row r="78" spans="1:21" s="91" customFormat="1" ht="21.75" customHeight="1" x14ac:dyDescent="0.35">
      <c r="A78" s="92">
        <v>74</v>
      </c>
      <c r="B78" s="93"/>
      <c r="C78" s="94"/>
      <c r="D78" s="95"/>
      <c r="E78" s="93"/>
      <c r="F78" s="96"/>
      <c r="G78" s="96"/>
      <c r="H78" s="96"/>
      <c r="I78" s="97">
        <f>'الإفاقة القلبية'!$H78-'الإفاقة القلبية'!$F78</f>
        <v>0</v>
      </c>
      <c r="J78" s="98"/>
      <c r="K78" s="96"/>
      <c r="L78" s="97">
        <f>'الإفاقة القلبية'!$K78-'الإفاقة القلبية'!$G78</f>
        <v>0</v>
      </c>
      <c r="M78" s="93"/>
      <c r="N78" s="93"/>
      <c r="O78" s="99" t="str">
        <f>IF(Table6[[#This Row],[تاريخ حدوث توقف القلب
mm/dd/yyyy]]="","",TEXT(Table6[[#This Row],[تاريخ حدوث توقف القلب
mm/dd/yyyy]],"mmm-yyyy"))</f>
        <v/>
      </c>
      <c r="U78" s="91">
        <v>10</v>
      </c>
    </row>
    <row r="79" spans="1:21" s="62" customFormat="1" ht="21.75" customHeight="1" x14ac:dyDescent="0.35">
      <c r="A79" s="75">
        <v>75</v>
      </c>
      <c r="B79" s="76"/>
      <c r="C79" s="77"/>
      <c r="D79" s="78"/>
      <c r="E79" s="76"/>
      <c r="F79" s="79"/>
      <c r="G79" s="79"/>
      <c r="H79" s="79"/>
      <c r="I79" s="80">
        <f>'الإفاقة القلبية'!$H79-'الإفاقة القلبية'!$F79</f>
        <v>0</v>
      </c>
      <c r="J79" s="81"/>
      <c r="K79" s="79"/>
      <c r="L79" s="80">
        <f>'الإفاقة القلبية'!$K79-'الإفاقة القلبية'!$G79</f>
        <v>0</v>
      </c>
      <c r="M79" s="76"/>
      <c r="N79" s="76"/>
      <c r="O79" s="74" t="str">
        <f>IF(Table6[[#This Row],[تاريخ حدوث توقف القلب
mm/dd/yyyy]]="","",TEXT(Table6[[#This Row],[تاريخ حدوث توقف القلب
mm/dd/yyyy]],"mmm-yyyy"))</f>
        <v/>
      </c>
      <c r="U79" s="62">
        <v>10</v>
      </c>
    </row>
    <row r="80" spans="1:21" s="91" customFormat="1" ht="21.75" customHeight="1" x14ac:dyDescent="0.35">
      <c r="A80" s="92">
        <v>76</v>
      </c>
      <c r="B80" s="93"/>
      <c r="C80" s="94"/>
      <c r="D80" s="95"/>
      <c r="E80" s="93"/>
      <c r="F80" s="96"/>
      <c r="G80" s="96"/>
      <c r="H80" s="96"/>
      <c r="I80" s="97">
        <f>'الإفاقة القلبية'!$H80-'الإفاقة القلبية'!$F80</f>
        <v>0</v>
      </c>
      <c r="J80" s="98"/>
      <c r="K80" s="96"/>
      <c r="L80" s="97">
        <f>'الإفاقة القلبية'!$K80-'الإفاقة القلبية'!$G80</f>
        <v>0</v>
      </c>
      <c r="M80" s="93"/>
      <c r="N80" s="93"/>
      <c r="O80" s="99" t="str">
        <f>IF(Table6[[#This Row],[تاريخ حدوث توقف القلب
mm/dd/yyyy]]="","",TEXT(Table6[[#This Row],[تاريخ حدوث توقف القلب
mm/dd/yyyy]],"mmm-yyyy"))</f>
        <v/>
      </c>
      <c r="U80" s="91">
        <v>10</v>
      </c>
    </row>
    <row r="81" spans="1:21" s="62" customFormat="1" ht="21.75" customHeight="1" x14ac:dyDescent="0.35">
      <c r="A81" s="75">
        <v>77</v>
      </c>
      <c r="B81" s="76"/>
      <c r="C81" s="77"/>
      <c r="D81" s="78"/>
      <c r="E81" s="76"/>
      <c r="F81" s="79"/>
      <c r="G81" s="79"/>
      <c r="H81" s="79"/>
      <c r="I81" s="80">
        <f>'الإفاقة القلبية'!$H81-'الإفاقة القلبية'!$F81</f>
        <v>0</v>
      </c>
      <c r="J81" s="81"/>
      <c r="K81" s="79"/>
      <c r="L81" s="80">
        <f>'الإفاقة القلبية'!$K81-'الإفاقة القلبية'!$G81</f>
        <v>0</v>
      </c>
      <c r="M81" s="76"/>
      <c r="N81" s="76"/>
      <c r="O81" s="74" t="str">
        <f>IF(Table6[[#This Row],[تاريخ حدوث توقف القلب
mm/dd/yyyy]]="","",TEXT(Table6[[#This Row],[تاريخ حدوث توقف القلب
mm/dd/yyyy]],"mmm-yyyy"))</f>
        <v/>
      </c>
      <c r="U81" s="62">
        <v>10</v>
      </c>
    </row>
    <row r="82" spans="1:21" s="91" customFormat="1" ht="21.75" customHeight="1" x14ac:dyDescent="0.35">
      <c r="A82" s="92">
        <v>78</v>
      </c>
      <c r="B82" s="93"/>
      <c r="C82" s="94"/>
      <c r="D82" s="95"/>
      <c r="E82" s="93"/>
      <c r="F82" s="96"/>
      <c r="G82" s="96"/>
      <c r="H82" s="96"/>
      <c r="I82" s="97">
        <f>'الإفاقة القلبية'!$H82-'الإفاقة القلبية'!$F82</f>
        <v>0</v>
      </c>
      <c r="J82" s="98"/>
      <c r="K82" s="96"/>
      <c r="L82" s="97">
        <f>'الإفاقة القلبية'!$K82-'الإفاقة القلبية'!$G82</f>
        <v>0</v>
      </c>
      <c r="M82" s="93"/>
      <c r="N82" s="93"/>
      <c r="O82" s="99" t="str">
        <f>IF(Table6[[#This Row],[تاريخ حدوث توقف القلب
mm/dd/yyyy]]="","",TEXT(Table6[[#This Row],[تاريخ حدوث توقف القلب
mm/dd/yyyy]],"mmm-yyyy"))</f>
        <v/>
      </c>
      <c r="U82" s="91">
        <v>10</v>
      </c>
    </row>
    <row r="83" spans="1:21" s="62" customFormat="1" ht="21.75" customHeight="1" x14ac:dyDescent="0.35">
      <c r="A83" s="75">
        <v>79</v>
      </c>
      <c r="B83" s="76"/>
      <c r="C83" s="77"/>
      <c r="D83" s="78"/>
      <c r="E83" s="76"/>
      <c r="F83" s="79"/>
      <c r="G83" s="79"/>
      <c r="H83" s="79"/>
      <c r="I83" s="80">
        <f>'الإفاقة القلبية'!$H83-'الإفاقة القلبية'!$F83</f>
        <v>0</v>
      </c>
      <c r="J83" s="81"/>
      <c r="K83" s="79"/>
      <c r="L83" s="80">
        <f>'الإفاقة القلبية'!$K83-'الإفاقة القلبية'!$G83</f>
        <v>0</v>
      </c>
      <c r="M83" s="76"/>
      <c r="N83" s="76"/>
      <c r="O83" s="74" t="str">
        <f>IF(Table6[[#This Row],[تاريخ حدوث توقف القلب
mm/dd/yyyy]]="","",TEXT(Table6[[#This Row],[تاريخ حدوث توقف القلب
mm/dd/yyyy]],"mmm-yyyy"))</f>
        <v/>
      </c>
      <c r="U83" s="62">
        <v>10</v>
      </c>
    </row>
    <row r="84" spans="1:21" s="91" customFormat="1" ht="21.75" customHeight="1" x14ac:dyDescent="0.35">
      <c r="A84" s="92">
        <v>80</v>
      </c>
      <c r="B84" s="93"/>
      <c r="C84" s="94"/>
      <c r="D84" s="95"/>
      <c r="E84" s="93"/>
      <c r="F84" s="96"/>
      <c r="G84" s="96"/>
      <c r="H84" s="96"/>
      <c r="I84" s="97">
        <f>'الإفاقة القلبية'!$H84-'الإفاقة القلبية'!$F84</f>
        <v>0</v>
      </c>
      <c r="J84" s="98"/>
      <c r="K84" s="96"/>
      <c r="L84" s="97">
        <f>'الإفاقة القلبية'!$K84-'الإفاقة القلبية'!$G84</f>
        <v>0</v>
      </c>
      <c r="M84" s="93"/>
      <c r="N84" s="93"/>
      <c r="O84" s="99" t="str">
        <f>IF(Table6[[#This Row],[تاريخ حدوث توقف القلب
mm/dd/yyyy]]="","",TEXT(Table6[[#This Row],[تاريخ حدوث توقف القلب
mm/dd/yyyy]],"mmm-yyyy"))</f>
        <v/>
      </c>
      <c r="U84" s="91">
        <v>10</v>
      </c>
    </row>
    <row r="85" spans="1:21" s="62" customFormat="1" ht="21.75" customHeight="1" x14ac:dyDescent="0.35">
      <c r="A85" s="75">
        <v>81</v>
      </c>
      <c r="B85" s="76"/>
      <c r="C85" s="77"/>
      <c r="D85" s="78"/>
      <c r="E85" s="76"/>
      <c r="F85" s="79"/>
      <c r="G85" s="79"/>
      <c r="H85" s="79"/>
      <c r="I85" s="80">
        <f>'الإفاقة القلبية'!$H85-'الإفاقة القلبية'!$F85</f>
        <v>0</v>
      </c>
      <c r="J85" s="81"/>
      <c r="K85" s="79"/>
      <c r="L85" s="80">
        <f>'الإفاقة القلبية'!$K85-'الإفاقة القلبية'!$G85</f>
        <v>0</v>
      </c>
      <c r="M85" s="76"/>
      <c r="N85" s="76"/>
      <c r="O85" s="74" t="str">
        <f>IF(Table6[[#This Row],[تاريخ حدوث توقف القلب
mm/dd/yyyy]]="","",TEXT(Table6[[#This Row],[تاريخ حدوث توقف القلب
mm/dd/yyyy]],"mmm-yyyy"))</f>
        <v/>
      </c>
      <c r="U85" s="62">
        <v>10</v>
      </c>
    </row>
    <row r="86" spans="1:21" s="91" customFormat="1" ht="21.75" customHeight="1" x14ac:dyDescent="0.35">
      <c r="A86" s="92">
        <v>82</v>
      </c>
      <c r="B86" s="93"/>
      <c r="C86" s="94"/>
      <c r="D86" s="95"/>
      <c r="E86" s="93"/>
      <c r="F86" s="96"/>
      <c r="G86" s="96"/>
      <c r="H86" s="96"/>
      <c r="I86" s="97">
        <f>'الإفاقة القلبية'!$H86-'الإفاقة القلبية'!$F86</f>
        <v>0</v>
      </c>
      <c r="J86" s="98"/>
      <c r="K86" s="96"/>
      <c r="L86" s="97">
        <f>'الإفاقة القلبية'!$K86-'الإفاقة القلبية'!$G86</f>
        <v>0</v>
      </c>
      <c r="M86" s="93"/>
      <c r="N86" s="93"/>
      <c r="O86" s="99" t="str">
        <f>IF(Table6[[#This Row],[تاريخ حدوث توقف القلب
mm/dd/yyyy]]="","",TEXT(Table6[[#This Row],[تاريخ حدوث توقف القلب
mm/dd/yyyy]],"mmm-yyyy"))</f>
        <v/>
      </c>
      <c r="U86" s="91">
        <v>10</v>
      </c>
    </row>
    <row r="87" spans="1:21" s="62" customFormat="1" ht="21.75" customHeight="1" x14ac:dyDescent="0.35">
      <c r="A87" s="75">
        <v>83</v>
      </c>
      <c r="B87" s="76"/>
      <c r="C87" s="77"/>
      <c r="D87" s="78"/>
      <c r="E87" s="76"/>
      <c r="F87" s="79"/>
      <c r="G87" s="79"/>
      <c r="H87" s="79"/>
      <c r="I87" s="80">
        <f>'الإفاقة القلبية'!$H87-'الإفاقة القلبية'!$F87</f>
        <v>0</v>
      </c>
      <c r="J87" s="81"/>
      <c r="K87" s="79"/>
      <c r="L87" s="80">
        <f>'الإفاقة القلبية'!$K87-'الإفاقة القلبية'!$G87</f>
        <v>0</v>
      </c>
      <c r="M87" s="76"/>
      <c r="N87" s="76"/>
      <c r="O87" s="74" t="str">
        <f>IF(Table6[[#This Row],[تاريخ حدوث توقف القلب
mm/dd/yyyy]]="","",TEXT(Table6[[#This Row],[تاريخ حدوث توقف القلب
mm/dd/yyyy]],"mmm-yyyy"))</f>
        <v/>
      </c>
      <c r="U87" s="62">
        <v>10</v>
      </c>
    </row>
    <row r="88" spans="1:21" s="91" customFormat="1" ht="21.75" customHeight="1" x14ac:dyDescent="0.35">
      <c r="A88" s="92">
        <v>84</v>
      </c>
      <c r="B88" s="93"/>
      <c r="C88" s="94"/>
      <c r="D88" s="95"/>
      <c r="E88" s="93"/>
      <c r="F88" s="96"/>
      <c r="G88" s="96"/>
      <c r="H88" s="96"/>
      <c r="I88" s="97">
        <f>'الإفاقة القلبية'!$H88-'الإفاقة القلبية'!$F88</f>
        <v>0</v>
      </c>
      <c r="J88" s="98"/>
      <c r="K88" s="96"/>
      <c r="L88" s="97">
        <f>'الإفاقة القلبية'!$K88-'الإفاقة القلبية'!$G88</f>
        <v>0</v>
      </c>
      <c r="M88" s="93"/>
      <c r="N88" s="93"/>
      <c r="O88" s="99" t="str">
        <f>IF(Table6[[#This Row],[تاريخ حدوث توقف القلب
mm/dd/yyyy]]="","",TEXT(Table6[[#This Row],[تاريخ حدوث توقف القلب
mm/dd/yyyy]],"mmm-yyyy"))</f>
        <v/>
      </c>
      <c r="U88" s="91">
        <v>10</v>
      </c>
    </row>
    <row r="89" spans="1:21" s="62" customFormat="1" ht="21.75" customHeight="1" x14ac:dyDescent="0.35">
      <c r="A89" s="75">
        <v>85</v>
      </c>
      <c r="B89" s="76"/>
      <c r="C89" s="77"/>
      <c r="D89" s="78"/>
      <c r="E89" s="76"/>
      <c r="F89" s="79"/>
      <c r="G89" s="79"/>
      <c r="H89" s="79"/>
      <c r="I89" s="80">
        <f>'الإفاقة القلبية'!$H89-'الإفاقة القلبية'!$F89</f>
        <v>0</v>
      </c>
      <c r="J89" s="81"/>
      <c r="K89" s="79"/>
      <c r="L89" s="80">
        <f>'الإفاقة القلبية'!$K89-'الإفاقة القلبية'!$G89</f>
        <v>0</v>
      </c>
      <c r="M89" s="76"/>
      <c r="N89" s="76"/>
      <c r="O89" s="74" t="str">
        <f>IF(Table6[[#This Row],[تاريخ حدوث توقف القلب
mm/dd/yyyy]]="","",TEXT(Table6[[#This Row],[تاريخ حدوث توقف القلب
mm/dd/yyyy]],"mmm-yyyy"))</f>
        <v/>
      </c>
      <c r="U89" s="62">
        <v>10</v>
      </c>
    </row>
    <row r="90" spans="1:21" s="91" customFormat="1" ht="21.75" customHeight="1" x14ac:dyDescent="0.35">
      <c r="A90" s="92">
        <v>86</v>
      </c>
      <c r="B90" s="93"/>
      <c r="C90" s="94"/>
      <c r="D90" s="95"/>
      <c r="E90" s="93"/>
      <c r="F90" s="96"/>
      <c r="G90" s="96"/>
      <c r="H90" s="96"/>
      <c r="I90" s="97">
        <f>'الإفاقة القلبية'!$H90-'الإفاقة القلبية'!$F90</f>
        <v>0</v>
      </c>
      <c r="J90" s="98"/>
      <c r="K90" s="96"/>
      <c r="L90" s="97">
        <f>'الإفاقة القلبية'!$K90-'الإفاقة القلبية'!$G90</f>
        <v>0</v>
      </c>
      <c r="M90" s="93"/>
      <c r="N90" s="93"/>
      <c r="O90" s="99" t="str">
        <f>IF(Table6[[#This Row],[تاريخ حدوث توقف القلب
mm/dd/yyyy]]="","",TEXT(Table6[[#This Row],[تاريخ حدوث توقف القلب
mm/dd/yyyy]],"mmm-yyyy"))</f>
        <v/>
      </c>
      <c r="U90" s="91">
        <v>10</v>
      </c>
    </row>
    <row r="91" spans="1:21" s="62" customFormat="1" ht="21.75" customHeight="1" x14ac:dyDescent="0.35">
      <c r="A91" s="75">
        <v>87</v>
      </c>
      <c r="B91" s="76"/>
      <c r="C91" s="77"/>
      <c r="D91" s="78"/>
      <c r="E91" s="76"/>
      <c r="F91" s="79"/>
      <c r="G91" s="79"/>
      <c r="H91" s="79"/>
      <c r="I91" s="80">
        <f>'الإفاقة القلبية'!$H91-'الإفاقة القلبية'!$F91</f>
        <v>0</v>
      </c>
      <c r="J91" s="81"/>
      <c r="K91" s="79"/>
      <c r="L91" s="80">
        <f>'الإفاقة القلبية'!$K91-'الإفاقة القلبية'!$G91</f>
        <v>0</v>
      </c>
      <c r="M91" s="76"/>
      <c r="N91" s="76"/>
      <c r="O91" s="74" t="str">
        <f>IF(Table6[[#This Row],[تاريخ حدوث توقف القلب
mm/dd/yyyy]]="","",TEXT(Table6[[#This Row],[تاريخ حدوث توقف القلب
mm/dd/yyyy]],"mmm-yyyy"))</f>
        <v/>
      </c>
      <c r="U91" s="62">
        <v>10</v>
      </c>
    </row>
    <row r="92" spans="1:21" s="91" customFormat="1" ht="21.75" customHeight="1" x14ac:dyDescent="0.35">
      <c r="A92" s="92">
        <v>88</v>
      </c>
      <c r="B92" s="93"/>
      <c r="C92" s="94"/>
      <c r="D92" s="95"/>
      <c r="E92" s="93"/>
      <c r="F92" s="96"/>
      <c r="G92" s="96"/>
      <c r="H92" s="96"/>
      <c r="I92" s="97">
        <f>'الإفاقة القلبية'!$H92-'الإفاقة القلبية'!$F92</f>
        <v>0</v>
      </c>
      <c r="J92" s="98"/>
      <c r="K92" s="96"/>
      <c r="L92" s="97">
        <f>'الإفاقة القلبية'!$K92-'الإفاقة القلبية'!$G92</f>
        <v>0</v>
      </c>
      <c r="M92" s="93"/>
      <c r="N92" s="93"/>
      <c r="O92" s="99" t="str">
        <f>IF(Table6[[#This Row],[تاريخ حدوث توقف القلب
mm/dd/yyyy]]="","",TEXT(Table6[[#This Row],[تاريخ حدوث توقف القلب
mm/dd/yyyy]],"mmm-yyyy"))</f>
        <v/>
      </c>
      <c r="U92" s="91">
        <v>10</v>
      </c>
    </row>
    <row r="93" spans="1:21" s="62" customFormat="1" ht="21.75" customHeight="1" x14ac:dyDescent="0.35">
      <c r="A93" s="75">
        <v>89</v>
      </c>
      <c r="B93" s="76"/>
      <c r="C93" s="77"/>
      <c r="D93" s="78"/>
      <c r="E93" s="76"/>
      <c r="F93" s="79"/>
      <c r="G93" s="79"/>
      <c r="H93" s="79"/>
      <c r="I93" s="80">
        <f>'الإفاقة القلبية'!$H93-'الإفاقة القلبية'!$F93</f>
        <v>0</v>
      </c>
      <c r="J93" s="81"/>
      <c r="K93" s="79"/>
      <c r="L93" s="80">
        <f>'الإفاقة القلبية'!$K93-'الإفاقة القلبية'!$G93</f>
        <v>0</v>
      </c>
      <c r="M93" s="76"/>
      <c r="N93" s="76"/>
      <c r="O93" s="74" t="str">
        <f>IF(Table6[[#This Row],[تاريخ حدوث توقف القلب
mm/dd/yyyy]]="","",TEXT(Table6[[#This Row],[تاريخ حدوث توقف القلب
mm/dd/yyyy]],"mmm-yyyy"))</f>
        <v/>
      </c>
      <c r="U93" s="62">
        <v>10</v>
      </c>
    </row>
    <row r="94" spans="1:21" s="91" customFormat="1" ht="21.75" customHeight="1" x14ac:dyDescent="0.35">
      <c r="A94" s="92">
        <v>90</v>
      </c>
      <c r="B94" s="93"/>
      <c r="C94" s="94"/>
      <c r="D94" s="95"/>
      <c r="E94" s="93"/>
      <c r="F94" s="96"/>
      <c r="G94" s="96"/>
      <c r="H94" s="96"/>
      <c r="I94" s="97">
        <f>'الإفاقة القلبية'!$H94-'الإفاقة القلبية'!$F94</f>
        <v>0</v>
      </c>
      <c r="J94" s="98"/>
      <c r="K94" s="96"/>
      <c r="L94" s="97">
        <f>'الإفاقة القلبية'!$K94-'الإفاقة القلبية'!$G94</f>
        <v>0</v>
      </c>
      <c r="M94" s="93"/>
      <c r="N94" s="93"/>
      <c r="O94" s="99" t="str">
        <f>IF(Table6[[#This Row],[تاريخ حدوث توقف القلب
mm/dd/yyyy]]="","",TEXT(Table6[[#This Row],[تاريخ حدوث توقف القلب
mm/dd/yyyy]],"mmm-yyyy"))</f>
        <v/>
      </c>
      <c r="U94" s="91">
        <v>10</v>
      </c>
    </row>
    <row r="95" spans="1:21" s="62" customFormat="1" ht="21.75" customHeight="1" x14ac:dyDescent="0.35">
      <c r="A95" s="75">
        <v>91</v>
      </c>
      <c r="B95" s="76"/>
      <c r="C95" s="77"/>
      <c r="D95" s="78"/>
      <c r="E95" s="76"/>
      <c r="F95" s="79"/>
      <c r="G95" s="79"/>
      <c r="H95" s="79"/>
      <c r="I95" s="80">
        <f>'الإفاقة القلبية'!$H95-'الإفاقة القلبية'!$F95</f>
        <v>0</v>
      </c>
      <c r="J95" s="81"/>
      <c r="K95" s="79"/>
      <c r="L95" s="80">
        <f>'الإفاقة القلبية'!$K95-'الإفاقة القلبية'!$G95</f>
        <v>0</v>
      </c>
      <c r="M95" s="76"/>
      <c r="N95" s="76"/>
      <c r="O95" s="74" t="str">
        <f>IF(Table6[[#This Row],[تاريخ حدوث توقف القلب
mm/dd/yyyy]]="","",TEXT(Table6[[#This Row],[تاريخ حدوث توقف القلب
mm/dd/yyyy]],"mmm-yyyy"))</f>
        <v/>
      </c>
      <c r="U95" s="62">
        <v>10</v>
      </c>
    </row>
    <row r="96" spans="1:21" s="91" customFormat="1" ht="21.75" customHeight="1" x14ac:dyDescent="0.35">
      <c r="A96" s="92">
        <v>92</v>
      </c>
      <c r="B96" s="93"/>
      <c r="C96" s="94"/>
      <c r="D96" s="95"/>
      <c r="E96" s="93"/>
      <c r="F96" s="96"/>
      <c r="G96" s="96"/>
      <c r="H96" s="96"/>
      <c r="I96" s="97">
        <f>'الإفاقة القلبية'!$H96-'الإفاقة القلبية'!$F96</f>
        <v>0</v>
      </c>
      <c r="J96" s="98"/>
      <c r="K96" s="96"/>
      <c r="L96" s="97">
        <f>'الإفاقة القلبية'!$K96-'الإفاقة القلبية'!$G96</f>
        <v>0</v>
      </c>
      <c r="M96" s="93"/>
      <c r="N96" s="93"/>
      <c r="O96" s="99" t="str">
        <f>IF(Table6[[#This Row],[تاريخ حدوث توقف القلب
mm/dd/yyyy]]="","",TEXT(Table6[[#This Row],[تاريخ حدوث توقف القلب
mm/dd/yyyy]],"mmm-yyyy"))</f>
        <v/>
      </c>
      <c r="U96" s="91">
        <v>10</v>
      </c>
    </row>
    <row r="97" spans="1:21" s="62" customFormat="1" ht="21.75" customHeight="1" x14ac:dyDescent="0.35">
      <c r="A97" s="75">
        <v>93</v>
      </c>
      <c r="B97" s="76"/>
      <c r="C97" s="77"/>
      <c r="D97" s="78"/>
      <c r="E97" s="76"/>
      <c r="F97" s="79"/>
      <c r="G97" s="79"/>
      <c r="H97" s="79"/>
      <c r="I97" s="80">
        <f>'الإفاقة القلبية'!$H97-'الإفاقة القلبية'!$F97</f>
        <v>0</v>
      </c>
      <c r="J97" s="81"/>
      <c r="K97" s="79"/>
      <c r="L97" s="80">
        <f>'الإفاقة القلبية'!$K97-'الإفاقة القلبية'!$G97</f>
        <v>0</v>
      </c>
      <c r="M97" s="76"/>
      <c r="N97" s="76"/>
      <c r="O97" s="74" t="str">
        <f>IF(Table6[[#This Row],[تاريخ حدوث توقف القلب
mm/dd/yyyy]]="","",TEXT(Table6[[#This Row],[تاريخ حدوث توقف القلب
mm/dd/yyyy]],"mmm-yyyy"))</f>
        <v/>
      </c>
      <c r="U97" s="62">
        <v>10</v>
      </c>
    </row>
    <row r="98" spans="1:21" s="91" customFormat="1" ht="21.75" customHeight="1" x14ac:dyDescent="0.35">
      <c r="A98" s="92">
        <v>94</v>
      </c>
      <c r="B98" s="93"/>
      <c r="C98" s="94"/>
      <c r="D98" s="95"/>
      <c r="E98" s="93"/>
      <c r="F98" s="96"/>
      <c r="G98" s="96"/>
      <c r="H98" s="96"/>
      <c r="I98" s="97">
        <f>'الإفاقة القلبية'!$H98-'الإفاقة القلبية'!$F98</f>
        <v>0</v>
      </c>
      <c r="J98" s="98"/>
      <c r="K98" s="96"/>
      <c r="L98" s="97">
        <f>'الإفاقة القلبية'!$K98-'الإفاقة القلبية'!$G98</f>
        <v>0</v>
      </c>
      <c r="M98" s="93"/>
      <c r="N98" s="93"/>
      <c r="O98" s="99" t="str">
        <f>IF(Table6[[#This Row],[تاريخ حدوث توقف القلب
mm/dd/yyyy]]="","",TEXT(Table6[[#This Row],[تاريخ حدوث توقف القلب
mm/dd/yyyy]],"mmm-yyyy"))</f>
        <v/>
      </c>
      <c r="U98" s="91">
        <v>10</v>
      </c>
    </row>
    <row r="99" spans="1:21" s="62" customFormat="1" ht="21.75" customHeight="1" x14ac:dyDescent="0.35">
      <c r="A99" s="75">
        <v>95</v>
      </c>
      <c r="B99" s="76"/>
      <c r="C99" s="77"/>
      <c r="D99" s="78"/>
      <c r="E99" s="76"/>
      <c r="F99" s="79"/>
      <c r="G99" s="79"/>
      <c r="H99" s="79"/>
      <c r="I99" s="80">
        <f>'الإفاقة القلبية'!$H99-'الإفاقة القلبية'!$F99</f>
        <v>0</v>
      </c>
      <c r="J99" s="81"/>
      <c r="K99" s="79"/>
      <c r="L99" s="80">
        <f>'الإفاقة القلبية'!$K99-'الإفاقة القلبية'!$G99</f>
        <v>0</v>
      </c>
      <c r="M99" s="76"/>
      <c r="N99" s="76"/>
      <c r="O99" s="74" t="str">
        <f>IF(Table6[[#This Row],[تاريخ حدوث توقف القلب
mm/dd/yyyy]]="","",TEXT(Table6[[#This Row],[تاريخ حدوث توقف القلب
mm/dd/yyyy]],"mmm-yyyy"))</f>
        <v/>
      </c>
      <c r="U99" s="62">
        <v>10</v>
      </c>
    </row>
    <row r="100" spans="1:21" s="91" customFormat="1" ht="21.75" customHeight="1" x14ac:dyDescent="0.35">
      <c r="A100" s="92">
        <v>96</v>
      </c>
      <c r="B100" s="93"/>
      <c r="C100" s="94"/>
      <c r="D100" s="95"/>
      <c r="E100" s="93"/>
      <c r="F100" s="96"/>
      <c r="G100" s="96"/>
      <c r="H100" s="96"/>
      <c r="I100" s="97">
        <f>'الإفاقة القلبية'!$H100-'الإفاقة القلبية'!$F100</f>
        <v>0</v>
      </c>
      <c r="J100" s="98"/>
      <c r="K100" s="96"/>
      <c r="L100" s="97">
        <f>'الإفاقة القلبية'!$K100-'الإفاقة القلبية'!$G100</f>
        <v>0</v>
      </c>
      <c r="M100" s="93"/>
      <c r="N100" s="93"/>
      <c r="O100" s="99" t="str">
        <f>IF(Table6[[#This Row],[تاريخ حدوث توقف القلب
mm/dd/yyyy]]="","",TEXT(Table6[[#This Row],[تاريخ حدوث توقف القلب
mm/dd/yyyy]],"mmm-yyyy"))</f>
        <v/>
      </c>
      <c r="U100" s="91">
        <v>10</v>
      </c>
    </row>
    <row r="101" spans="1:21" s="62" customFormat="1" ht="21.75" customHeight="1" x14ac:dyDescent="0.35">
      <c r="A101" s="75">
        <v>97</v>
      </c>
      <c r="B101" s="76"/>
      <c r="C101" s="77"/>
      <c r="D101" s="78"/>
      <c r="E101" s="76"/>
      <c r="F101" s="79"/>
      <c r="G101" s="79"/>
      <c r="H101" s="79"/>
      <c r="I101" s="80">
        <f>'الإفاقة القلبية'!$H101-'الإفاقة القلبية'!$F101</f>
        <v>0</v>
      </c>
      <c r="J101" s="81"/>
      <c r="K101" s="79"/>
      <c r="L101" s="80">
        <f>'الإفاقة القلبية'!$K101-'الإفاقة القلبية'!$G101</f>
        <v>0</v>
      </c>
      <c r="M101" s="76"/>
      <c r="N101" s="76"/>
      <c r="O101" s="74" t="str">
        <f>IF(Table6[[#This Row],[تاريخ حدوث توقف القلب
mm/dd/yyyy]]="","",TEXT(Table6[[#This Row],[تاريخ حدوث توقف القلب
mm/dd/yyyy]],"mmm-yyyy"))</f>
        <v/>
      </c>
      <c r="U101" s="62">
        <v>10</v>
      </c>
    </row>
    <row r="102" spans="1:21" s="91" customFormat="1" ht="21.75" customHeight="1" x14ac:dyDescent="0.35">
      <c r="A102" s="92">
        <v>98</v>
      </c>
      <c r="B102" s="93"/>
      <c r="C102" s="94"/>
      <c r="D102" s="95"/>
      <c r="E102" s="93"/>
      <c r="F102" s="96"/>
      <c r="G102" s="96"/>
      <c r="H102" s="96"/>
      <c r="I102" s="97">
        <f>'الإفاقة القلبية'!$H102-'الإفاقة القلبية'!$F102</f>
        <v>0</v>
      </c>
      <c r="J102" s="98"/>
      <c r="K102" s="96"/>
      <c r="L102" s="97">
        <f>'الإفاقة القلبية'!$K102-'الإفاقة القلبية'!$G102</f>
        <v>0</v>
      </c>
      <c r="M102" s="93"/>
      <c r="N102" s="93"/>
      <c r="O102" s="99" t="str">
        <f>IF(Table6[[#This Row],[تاريخ حدوث توقف القلب
mm/dd/yyyy]]="","",TEXT(Table6[[#This Row],[تاريخ حدوث توقف القلب
mm/dd/yyyy]],"mmm-yyyy"))</f>
        <v/>
      </c>
      <c r="U102" s="91">
        <v>10</v>
      </c>
    </row>
    <row r="103" spans="1:21" s="62" customFormat="1" ht="21.75" customHeight="1" x14ac:dyDescent="0.35">
      <c r="A103" s="75">
        <v>99</v>
      </c>
      <c r="B103" s="76"/>
      <c r="C103" s="77"/>
      <c r="D103" s="78"/>
      <c r="E103" s="76"/>
      <c r="F103" s="79"/>
      <c r="G103" s="79"/>
      <c r="H103" s="79"/>
      <c r="I103" s="80">
        <f>'الإفاقة القلبية'!$H103-'الإفاقة القلبية'!$F103</f>
        <v>0</v>
      </c>
      <c r="J103" s="81"/>
      <c r="K103" s="79"/>
      <c r="L103" s="80">
        <f>'الإفاقة القلبية'!$K103-'الإفاقة القلبية'!$G103</f>
        <v>0</v>
      </c>
      <c r="M103" s="76"/>
      <c r="N103" s="76"/>
      <c r="O103" s="74" t="str">
        <f>IF(Table6[[#This Row],[تاريخ حدوث توقف القلب
mm/dd/yyyy]]="","",TEXT(Table6[[#This Row],[تاريخ حدوث توقف القلب
mm/dd/yyyy]],"mmm-yyyy"))</f>
        <v/>
      </c>
      <c r="U103" s="62">
        <v>10</v>
      </c>
    </row>
    <row r="104" spans="1:21" s="91" customFormat="1" ht="21.75" customHeight="1" x14ac:dyDescent="0.35">
      <c r="A104" s="92">
        <v>100</v>
      </c>
      <c r="B104" s="93"/>
      <c r="C104" s="94"/>
      <c r="D104" s="95"/>
      <c r="E104" s="93"/>
      <c r="F104" s="96"/>
      <c r="G104" s="96"/>
      <c r="H104" s="96"/>
      <c r="I104" s="97">
        <f>'الإفاقة القلبية'!$H104-'الإفاقة القلبية'!$F104</f>
        <v>0</v>
      </c>
      <c r="J104" s="98"/>
      <c r="K104" s="96"/>
      <c r="L104" s="97">
        <f>'الإفاقة القلبية'!$K104-'الإفاقة القلبية'!$G104</f>
        <v>0</v>
      </c>
      <c r="M104" s="93"/>
      <c r="N104" s="93"/>
      <c r="O104" s="99" t="str">
        <f>IF(Table6[[#This Row],[تاريخ حدوث توقف القلب
mm/dd/yyyy]]="","",TEXT(Table6[[#This Row],[تاريخ حدوث توقف القلب
mm/dd/yyyy]],"mmm-yyyy"))</f>
        <v/>
      </c>
      <c r="U104" s="91">
        <v>10</v>
      </c>
    </row>
    <row r="105" spans="1:21" s="62" customFormat="1" ht="21.75" customHeight="1" x14ac:dyDescent="0.35">
      <c r="A105" s="75">
        <v>101</v>
      </c>
      <c r="B105" s="76"/>
      <c r="C105" s="77"/>
      <c r="D105" s="78"/>
      <c r="E105" s="76"/>
      <c r="F105" s="79"/>
      <c r="G105" s="79"/>
      <c r="H105" s="79"/>
      <c r="I105" s="80">
        <f>'الإفاقة القلبية'!$H105-'الإفاقة القلبية'!$F105</f>
        <v>0</v>
      </c>
      <c r="J105" s="81"/>
      <c r="K105" s="79"/>
      <c r="L105" s="80">
        <f>'الإفاقة القلبية'!$K105-'الإفاقة القلبية'!$G105</f>
        <v>0</v>
      </c>
      <c r="M105" s="76"/>
      <c r="N105" s="76"/>
      <c r="O105" s="74" t="str">
        <f>IF(Table6[[#This Row],[تاريخ حدوث توقف القلب
mm/dd/yyyy]]="","",TEXT(Table6[[#This Row],[تاريخ حدوث توقف القلب
mm/dd/yyyy]],"mmm-yyyy"))</f>
        <v/>
      </c>
      <c r="U105" s="62">
        <v>10</v>
      </c>
    </row>
    <row r="106" spans="1:21" s="91" customFormat="1" ht="21.75" customHeight="1" x14ac:dyDescent="0.35">
      <c r="A106" s="92">
        <v>102</v>
      </c>
      <c r="B106" s="93"/>
      <c r="C106" s="94"/>
      <c r="D106" s="95"/>
      <c r="E106" s="93"/>
      <c r="F106" s="96"/>
      <c r="G106" s="96"/>
      <c r="H106" s="96"/>
      <c r="I106" s="97">
        <f>'الإفاقة القلبية'!$H106-'الإفاقة القلبية'!$F106</f>
        <v>0</v>
      </c>
      <c r="J106" s="98"/>
      <c r="K106" s="96"/>
      <c r="L106" s="97">
        <f>'الإفاقة القلبية'!$K106-'الإفاقة القلبية'!$G106</f>
        <v>0</v>
      </c>
      <c r="M106" s="93"/>
      <c r="N106" s="93"/>
      <c r="O106" s="99" t="str">
        <f>IF(Table6[[#This Row],[تاريخ حدوث توقف القلب
mm/dd/yyyy]]="","",TEXT(Table6[[#This Row],[تاريخ حدوث توقف القلب
mm/dd/yyyy]],"mmm-yyyy"))</f>
        <v/>
      </c>
      <c r="U106" s="91">
        <v>10</v>
      </c>
    </row>
    <row r="107" spans="1:21" s="62" customFormat="1" ht="21.75" customHeight="1" x14ac:dyDescent="0.35">
      <c r="A107" s="75">
        <v>103</v>
      </c>
      <c r="B107" s="76"/>
      <c r="C107" s="77"/>
      <c r="D107" s="78"/>
      <c r="E107" s="76"/>
      <c r="F107" s="79"/>
      <c r="G107" s="79"/>
      <c r="H107" s="79"/>
      <c r="I107" s="80">
        <f>'الإفاقة القلبية'!$H107-'الإفاقة القلبية'!$F107</f>
        <v>0</v>
      </c>
      <c r="J107" s="81"/>
      <c r="K107" s="79"/>
      <c r="L107" s="80">
        <f>'الإفاقة القلبية'!$K107-'الإفاقة القلبية'!$G107</f>
        <v>0</v>
      </c>
      <c r="M107" s="76"/>
      <c r="N107" s="76"/>
      <c r="O107" s="74" t="str">
        <f>IF(Table6[[#This Row],[تاريخ حدوث توقف القلب
mm/dd/yyyy]]="","",TEXT(Table6[[#This Row],[تاريخ حدوث توقف القلب
mm/dd/yyyy]],"mmm-yyyy"))</f>
        <v/>
      </c>
      <c r="U107" s="62">
        <v>10</v>
      </c>
    </row>
    <row r="108" spans="1:21" s="91" customFormat="1" ht="21.75" customHeight="1" x14ac:dyDescent="0.35">
      <c r="A108" s="92">
        <v>104</v>
      </c>
      <c r="B108" s="93"/>
      <c r="C108" s="94"/>
      <c r="D108" s="95"/>
      <c r="E108" s="93"/>
      <c r="F108" s="96"/>
      <c r="G108" s="96"/>
      <c r="H108" s="96"/>
      <c r="I108" s="97">
        <f>'الإفاقة القلبية'!$H108-'الإفاقة القلبية'!$F108</f>
        <v>0</v>
      </c>
      <c r="J108" s="98"/>
      <c r="K108" s="96"/>
      <c r="L108" s="97">
        <f>'الإفاقة القلبية'!$K108-'الإفاقة القلبية'!$G108</f>
        <v>0</v>
      </c>
      <c r="M108" s="93"/>
      <c r="N108" s="93"/>
      <c r="O108" s="99" t="str">
        <f>IF(Table6[[#This Row],[تاريخ حدوث توقف القلب
mm/dd/yyyy]]="","",TEXT(Table6[[#This Row],[تاريخ حدوث توقف القلب
mm/dd/yyyy]],"mmm-yyyy"))</f>
        <v/>
      </c>
      <c r="U108" s="91">
        <v>10</v>
      </c>
    </row>
    <row r="109" spans="1:21" s="62" customFormat="1" ht="21.75" customHeight="1" x14ac:dyDescent="0.35">
      <c r="A109" s="75">
        <v>105</v>
      </c>
      <c r="B109" s="76"/>
      <c r="C109" s="77"/>
      <c r="D109" s="78"/>
      <c r="E109" s="76"/>
      <c r="F109" s="79"/>
      <c r="G109" s="79"/>
      <c r="H109" s="79"/>
      <c r="I109" s="80">
        <f>'الإفاقة القلبية'!$H109-'الإفاقة القلبية'!$F109</f>
        <v>0</v>
      </c>
      <c r="J109" s="81"/>
      <c r="K109" s="79"/>
      <c r="L109" s="80">
        <f>'الإفاقة القلبية'!$K109-'الإفاقة القلبية'!$G109</f>
        <v>0</v>
      </c>
      <c r="M109" s="76"/>
      <c r="N109" s="76"/>
      <c r="O109" s="74" t="str">
        <f>IF(Table6[[#This Row],[تاريخ حدوث توقف القلب
mm/dd/yyyy]]="","",TEXT(Table6[[#This Row],[تاريخ حدوث توقف القلب
mm/dd/yyyy]],"mmm-yyyy"))</f>
        <v/>
      </c>
      <c r="U109" s="62">
        <v>10</v>
      </c>
    </row>
    <row r="110" spans="1:21" s="91" customFormat="1" ht="21.75" customHeight="1" x14ac:dyDescent="0.35">
      <c r="A110" s="92">
        <v>106</v>
      </c>
      <c r="B110" s="93"/>
      <c r="C110" s="94"/>
      <c r="D110" s="95"/>
      <c r="E110" s="93"/>
      <c r="F110" s="96"/>
      <c r="G110" s="96"/>
      <c r="H110" s="96"/>
      <c r="I110" s="97">
        <f>'الإفاقة القلبية'!$H110-'الإفاقة القلبية'!$F110</f>
        <v>0</v>
      </c>
      <c r="J110" s="98"/>
      <c r="K110" s="96"/>
      <c r="L110" s="97">
        <f>'الإفاقة القلبية'!$K110-'الإفاقة القلبية'!$G110</f>
        <v>0</v>
      </c>
      <c r="M110" s="93"/>
      <c r="N110" s="93"/>
      <c r="O110" s="99" t="str">
        <f>IF(Table6[[#This Row],[تاريخ حدوث توقف القلب
mm/dd/yyyy]]="","",TEXT(Table6[[#This Row],[تاريخ حدوث توقف القلب
mm/dd/yyyy]],"mmm-yyyy"))</f>
        <v/>
      </c>
      <c r="U110" s="91">
        <v>10</v>
      </c>
    </row>
    <row r="111" spans="1:21" s="62" customFormat="1" ht="21.75" customHeight="1" x14ac:dyDescent="0.35">
      <c r="A111" s="75">
        <v>107</v>
      </c>
      <c r="B111" s="76"/>
      <c r="C111" s="77"/>
      <c r="D111" s="78"/>
      <c r="E111" s="76"/>
      <c r="F111" s="79"/>
      <c r="G111" s="79"/>
      <c r="H111" s="79"/>
      <c r="I111" s="80">
        <f>'الإفاقة القلبية'!$H111-'الإفاقة القلبية'!$F111</f>
        <v>0</v>
      </c>
      <c r="J111" s="81"/>
      <c r="K111" s="79"/>
      <c r="L111" s="80">
        <f>'الإفاقة القلبية'!$K111-'الإفاقة القلبية'!$G111</f>
        <v>0</v>
      </c>
      <c r="M111" s="76"/>
      <c r="N111" s="76"/>
      <c r="O111" s="74" t="str">
        <f>IF(Table6[[#This Row],[تاريخ حدوث توقف القلب
mm/dd/yyyy]]="","",TEXT(Table6[[#This Row],[تاريخ حدوث توقف القلب
mm/dd/yyyy]],"mmm-yyyy"))</f>
        <v/>
      </c>
      <c r="U111" s="62">
        <v>10</v>
      </c>
    </row>
    <row r="112" spans="1:21" s="91" customFormat="1" ht="21.75" customHeight="1" x14ac:dyDescent="0.35">
      <c r="A112" s="92">
        <v>108</v>
      </c>
      <c r="B112" s="93"/>
      <c r="C112" s="94"/>
      <c r="D112" s="95"/>
      <c r="E112" s="93"/>
      <c r="F112" s="96"/>
      <c r="G112" s="96"/>
      <c r="H112" s="96"/>
      <c r="I112" s="97">
        <f>'الإفاقة القلبية'!$H112-'الإفاقة القلبية'!$F112</f>
        <v>0</v>
      </c>
      <c r="J112" s="98"/>
      <c r="K112" s="96"/>
      <c r="L112" s="97">
        <f>'الإفاقة القلبية'!$K112-'الإفاقة القلبية'!$G112</f>
        <v>0</v>
      </c>
      <c r="M112" s="93"/>
      <c r="N112" s="93"/>
      <c r="O112" s="99" t="str">
        <f>IF(Table6[[#This Row],[تاريخ حدوث توقف القلب
mm/dd/yyyy]]="","",TEXT(Table6[[#This Row],[تاريخ حدوث توقف القلب
mm/dd/yyyy]],"mmm-yyyy"))</f>
        <v/>
      </c>
      <c r="U112" s="91">
        <v>10</v>
      </c>
    </row>
    <row r="113" spans="1:21" s="62" customFormat="1" ht="21.75" customHeight="1" x14ac:dyDescent="0.35">
      <c r="A113" s="75">
        <v>109</v>
      </c>
      <c r="B113" s="76"/>
      <c r="C113" s="77"/>
      <c r="D113" s="78"/>
      <c r="E113" s="76"/>
      <c r="F113" s="79"/>
      <c r="G113" s="79"/>
      <c r="H113" s="79"/>
      <c r="I113" s="80">
        <f>'الإفاقة القلبية'!$H113-'الإفاقة القلبية'!$F113</f>
        <v>0</v>
      </c>
      <c r="J113" s="81"/>
      <c r="K113" s="79"/>
      <c r="L113" s="80">
        <f>'الإفاقة القلبية'!$K113-'الإفاقة القلبية'!$G113</f>
        <v>0</v>
      </c>
      <c r="M113" s="76"/>
      <c r="N113" s="76"/>
      <c r="O113" s="74" t="str">
        <f>IF(Table6[[#This Row],[تاريخ حدوث توقف القلب
mm/dd/yyyy]]="","",TEXT(Table6[[#This Row],[تاريخ حدوث توقف القلب
mm/dd/yyyy]],"mmm-yyyy"))</f>
        <v/>
      </c>
      <c r="U113" s="62">
        <v>10</v>
      </c>
    </row>
    <row r="114" spans="1:21" s="91" customFormat="1" ht="21.75" customHeight="1" x14ac:dyDescent="0.35">
      <c r="A114" s="92">
        <v>110</v>
      </c>
      <c r="B114" s="93"/>
      <c r="C114" s="94"/>
      <c r="D114" s="95"/>
      <c r="E114" s="93"/>
      <c r="F114" s="96"/>
      <c r="G114" s="96"/>
      <c r="H114" s="96"/>
      <c r="I114" s="97">
        <f>'الإفاقة القلبية'!$H114-'الإفاقة القلبية'!$F114</f>
        <v>0</v>
      </c>
      <c r="J114" s="98"/>
      <c r="K114" s="96"/>
      <c r="L114" s="97">
        <f>'الإفاقة القلبية'!$K114-'الإفاقة القلبية'!$G114</f>
        <v>0</v>
      </c>
      <c r="M114" s="93"/>
      <c r="N114" s="93"/>
      <c r="O114" s="99" t="str">
        <f>IF(Table6[[#This Row],[تاريخ حدوث توقف القلب
mm/dd/yyyy]]="","",TEXT(Table6[[#This Row],[تاريخ حدوث توقف القلب
mm/dd/yyyy]],"mmm-yyyy"))</f>
        <v/>
      </c>
      <c r="U114" s="91">
        <v>10</v>
      </c>
    </row>
    <row r="115" spans="1:21" s="62" customFormat="1" ht="21.75" customHeight="1" x14ac:dyDescent="0.35">
      <c r="A115" s="75">
        <v>111</v>
      </c>
      <c r="B115" s="76"/>
      <c r="C115" s="77"/>
      <c r="D115" s="78"/>
      <c r="E115" s="76"/>
      <c r="F115" s="79"/>
      <c r="G115" s="79"/>
      <c r="H115" s="79"/>
      <c r="I115" s="80">
        <f>'الإفاقة القلبية'!$H115-'الإفاقة القلبية'!$F115</f>
        <v>0</v>
      </c>
      <c r="J115" s="81"/>
      <c r="K115" s="79"/>
      <c r="L115" s="80">
        <f>'الإفاقة القلبية'!$K115-'الإفاقة القلبية'!$G115</f>
        <v>0</v>
      </c>
      <c r="M115" s="76"/>
      <c r="N115" s="76"/>
      <c r="O115" s="74" t="str">
        <f>IF(Table6[[#This Row],[تاريخ حدوث توقف القلب
mm/dd/yyyy]]="","",TEXT(Table6[[#This Row],[تاريخ حدوث توقف القلب
mm/dd/yyyy]],"mmm-yyyy"))</f>
        <v/>
      </c>
      <c r="U115" s="62">
        <v>10</v>
      </c>
    </row>
    <row r="116" spans="1:21" s="91" customFormat="1" ht="21.75" customHeight="1" x14ac:dyDescent="0.35">
      <c r="A116" s="92">
        <v>112</v>
      </c>
      <c r="B116" s="93"/>
      <c r="C116" s="94"/>
      <c r="D116" s="95"/>
      <c r="E116" s="93"/>
      <c r="F116" s="96"/>
      <c r="G116" s="96"/>
      <c r="H116" s="96"/>
      <c r="I116" s="97">
        <f>'الإفاقة القلبية'!$H116-'الإفاقة القلبية'!$F116</f>
        <v>0</v>
      </c>
      <c r="J116" s="98"/>
      <c r="K116" s="96"/>
      <c r="L116" s="97">
        <f>'الإفاقة القلبية'!$K116-'الإفاقة القلبية'!$G116</f>
        <v>0</v>
      </c>
      <c r="M116" s="93"/>
      <c r="N116" s="93"/>
      <c r="O116" s="99" t="str">
        <f>IF(Table6[[#This Row],[تاريخ حدوث توقف القلب
mm/dd/yyyy]]="","",TEXT(Table6[[#This Row],[تاريخ حدوث توقف القلب
mm/dd/yyyy]],"mmm-yyyy"))</f>
        <v/>
      </c>
      <c r="U116" s="91">
        <v>10</v>
      </c>
    </row>
    <row r="117" spans="1:21" s="62" customFormat="1" ht="21.75" customHeight="1" x14ac:dyDescent="0.35">
      <c r="A117" s="75">
        <v>113</v>
      </c>
      <c r="B117" s="76"/>
      <c r="C117" s="77"/>
      <c r="D117" s="78"/>
      <c r="E117" s="76"/>
      <c r="F117" s="79"/>
      <c r="G117" s="79"/>
      <c r="H117" s="79"/>
      <c r="I117" s="80">
        <f>'الإفاقة القلبية'!$H117-'الإفاقة القلبية'!$F117</f>
        <v>0</v>
      </c>
      <c r="J117" s="81"/>
      <c r="K117" s="79"/>
      <c r="L117" s="80">
        <f>'الإفاقة القلبية'!$K117-'الإفاقة القلبية'!$G117</f>
        <v>0</v>
      </c>
      <c r="M117" s="76"/>
      <c r="N117" s="76"/>
      <c r="O117" s="74" t="str">
        <f>IF(Table6[[#This Row],[تاريخ حدوث توقف القلب
mm/dd/yyyy]]="","",TEXT(Table6[[#This Row],[تاريخ حدوث توقف القلب
mm/dd/yyyy]],"mmm-yyyy"))</f>
        <v/>
      </c>
      <c r="U117" s="62">
        <v>10</v>
      </c>
    </row>
    <row r="118" spans="1:21" s="91" customFormat="1" ht="21.75" customHeight="1" x14ac:dyDescent="0.35">
      <c r="A118" s="92">
        <v>114</v>
      </c>
      <c r="B118" s="93"/>
      <c r="C118" s="94"/>
      <c r="D118" s="95"/>
      <c r="E118" s="93"/>
      <c r="F118" s="96"/>
      <c r="G118" s="96"/>
      <c r="H118" s="96"/>
      <c r="I118" s="97">
        <f>'الإفاقة القلبية'!$H118-'الإفاقة القلبية'!$F118</f>
        <v>0</v>
      </c>
      <c r="J118" s="98"/>
      <c r="K118" s="96"/>
      <c r="L118" s="97">
        <f>'الإفاقة القلبية'!$K118-'الإفاقة القلبية'!$G118</f>
        <v>0</v>
      </c>
      <c r="M118" s="93"/>
      <c r="N118" s="93"/>
      <c r="O118" s="99" t="str">
        <f>IF(Table6[[#This Row],[تاريخ حدوث توقف القلب
mm/dd/yyyy]]="","",TEXT(Table6[[#This Row],[تاريخ حدوث توقف القلب
mm/dd/yyyy]],"mmm-yyyy"))</f>
        <v/>
      </c>
      <c r="U118" s="91">
        <v>10</v>
      </c>
    </row>
    <row r="119" spans="1:21" s="62" customFormat="1" ht="21.75" customHeight="1" x14ac:dyDescent="0.35">
      <c r="A119" s="75">
        <v>115</v>
      </c>
      <c r="B119" s="76"/>
      <c r="C119" s="77"/>
      <c r="D119" s="78"/>
      <c r="E119" s="76"/>
      <c r="F119" s="79"/>
      <c r="G119" s="79"/>
      <c r="H119" s="79"/>
      <c r="I119" s="80">
        <f>'الإفاقة القلبية'!$H119-'الإفاقة القلبية'!$F119</f>
        <v>0</v>
      </c>
      <c r="J119" s="81"/>
      <c r="K119" s="79"/>
      <c r="L119" s="80">
        <f>'الإفاقة القلبية'!$K119-'الإفاقة القلبية'!$G119</f>
        <v>0</v>
      </c>
      <c r="M119" s="76"/>
      <c r="N119" s="76"/>
      <c r="O119" s="74" t="str">
        <f>IF(Table6[[#This Row],[تاريخ حدوث توقف القلب
mm/dd/yyyy]]="","",TEXT(Table6[[#This Row],[تاريخ حدوث توقف القلب
mm/dd/yyyy]],"mmm-yyyy"))</f>
        <v/>
      </c>
      <c r="U119" s="62">
        <v>10</v>
      </c>
    </row>
    <row r="120" spans="1:21" s="91" customFormat="1" ht="21.75" customHeight="1" x14ac:dyDescent="0.35">
      <c r="A120" s="92">
        <v>116</v>
      </c>
      <c r="B120" s="93"/>
      <c r="C120" s="94"/>
      <c r="D120" s="95"/>
      <c r="E120" s="93"/>
      <c r="F120" s="96"/>
      <c r="G120" s="96"/>
      <c r="H120" s="96"/>
      <c r="I120" s="97">
        <f>'الإفاقة القلبية'!$H120-'الإفاقة القلبية'!$F120</f>
        <v>0</v>
      </c>
      <c r="J120" s="98"/>
      <c r="K120" s="96"/>
      <c r="L120" s="97">
        <f>'الإفاقة القلبية'!$K120-'الإفاقة القلبية'!$G120</f>
        <v>0</v>
      </c>
      <c r="M120" s="93"/>
      <c r="N120" s="93"/>
      <c r="O120" s="99" t="str">
        <f>IF(Table6[[#This Row],[تاريخ حدوث توقف القلب
mm/dd/yyyy]]="","",TEXT(Table6[[#This Row],[تاريخ حدوث توقف القلب
mm/dd/yyyy]],"mmm-yyyy"))</f>
        <v/>
      </c>
      <c r="U120" s="91">
        <v>10</v>
      </c>
    </row>
    <row r="121" spans="1:21" s="62" customFormat="1" ht="21.75" customHeight="1" x14ac:dyDescent="0.35">
      <c r="A121" s="75">
        <v>117</v>
      </c>
      <c r="B121" s="76"/>
      <c r="C121" s="77"/>
      <c r="D121" s="78"/>
      <c r="E121" s="76"/>
      <c r="F121" s="79"/>
      <c r="G121" s="79"/>
      <c r="H121" s="79"/>
      <c r="I121" s="80">
        <f>'الإفاقة القلبية'!$H121-'الإفاقة القلبية'!$F121</f>
        <v>0</v>
      </c>
      <c r="J121" s="81"/>
      <c r="K121" s="79"/>
      <c r="L121" s="80">
        <f>'الإفاقة القلبية'!$K121-'الإفاقة القلبية'!$G121</f>
        <v>0</v>
      </c>
      <c r="M121" s="76"/>
      <c r="N121" s="76"/>
      <c r="O121" s="74" t="str">
        <f>IF(Table6[[#This Row],[تاريخ حدوث توقف القلب
mm/dd/yyyy]]="","",TEXT(Table6[[#This Row],[تاريخ حدوث توقف القلب
mm/dd/yyyy]],"mmm-yyyy"))</f>
        <v/>
      </c>
      <c r="U121" s="62">
        <v>10</v>
      </c>
    </row>
    <row r="122" spans="1:21" s="91" customFormat="1" ht="21.75" customHeight="1" x14ac:dyDescent="0.35">
      <c r="A122" s="92">
        <v>118</v>
      </c>
      <c r="B122" s="93"/>
      <c r="C122" s="94"/>
      <c r="D122" s="95"/>
      <c r="E122" s="93"/>
      <c r="F122" s="96"/>
      <c r="G122" s="96"/>
      <c r="H122" s="96"/>
      <c r="I122" s="97">
        <f>'الإفاقة القلبية'!$H122-'الإفاقة القلبية'!$F122</f>
        <v>0</v>
      </c>
      <c r="J122" s="98"/>
      <c r="K122" s="96"/>
      <c r="L122" s="97">
        <f>'الإفاقة القلبية'!$K122-'الإفاقة القلبية'!$G122</f>
        <v>0</v>
      </c>
      <c r="M122" s="93"/>
      <c r="N122" s="93"/>
      <c r="O122" s="99" t="str">
        <f>IF(Table6[[#This Row],[تاريخ حدوث توقف القلب
mm/dd/yyyy]]="","",TEXT(Table6[[#This Row],[تاريخ حدوث توقف القلب
mm/dd/yyyy]],"mmm-yyyy"))</f>
        <v/>
      </c>
      <c r="U122" s="91">
        <v>10</v>
      </c>
    </row>
    <row r="123" spans="1:21" s="62" customFormat="1" ht="21.75" customHeight="1" x14ac:dyDescent="0.35">
      <c r="A123" s="75">
        <v>119</v>
      </c>
      <c r="B123" s="76"/>
      <c r="C123" s="77"/>
      <c r="D123" s="78"/>
      <c r="E123" s="76"/>
      <c r="F123" s="79"/>
      <c r="G123" s="79"/>
      <c r="H123" s="79"/>
      <c r="I123" s="80">
        <f>'الإفاقة القلبية'!$H123-'الإفاقة القلبية'!$F123</f>
        <v>0</v>
      </c>
      <c r="J123" s="81"/>
      <c r="K123" s="79"/>
      <c r="L123" s="80">
        <f>'الإفاقة القلبية'!$K123-'الإفاقة القلبية'!$G123</f>
        <v>0</v>
      </c>
      <c r="M123" s="76"/>
      <c r="N123" s="76"/>
      <c r="O123" s="74" t="str">
        <f>IF(Table6[[#This Row],[تاريخ حدوث توقف القلب
mm/dd/yyyy]]="","",TEXT(Table6[[#This Row],[تاريخ حدوث توقف القلب
mm/dd/yyyy]],"mmm-yyyy"))</f>
        <v/>
      </c>
      <c r="U123" s="62">
        <v>10</v>
      </c>
    </row>
    <row r="124" spans="1:21" s="91" customFormat="1" ht="21.75" customHeight="1" x14ac:dyDescent="0.35">
      <c r="A124" s="92">
        <v>120</v>
      </c>
      <c r="B124" s="93"/>
      <c r="C124" s="94"/>
      <c r="D124" s="95"/>
      <c r="E124" s="93"/>
      <c r="F124" s="96"/>
      <c r="G124" s="96"/>
      <c r="H124" s="96"/>
      <c r="I124" s="97">
        <f>'الإفاقة القلبية'!$H124-'الإفاقة القلبية'!$F124</f>
        <v>0</v>
      </c>
      <c r="J124" s="98"/>
      <c r="K124" s="96"/>
      <c r="L124" s="97">
        <f>'الإفاقة القلبية'!$K124-'الإفاقة القلبية'!$G124</f>
        <v>0</v>
      </c>
      <c r="M124" s="93"/>
      <c r="N124" s="93"/>
      <c r="O124" s="99" t="str">
        <f>IF(Table6[[#This Row],[تاريخ حدوث توقف القلب
mm/dd/yyyy]]="","",TEXT(Table6[[#This Row],[تاريخ حدوث توقف القلب
mm/dd/yyyy]],"mmm-yyyy"))</f>
        <v/>
      </c>
      <c r="U124" s="91">
        <v>10</v>
      </c>
    </row>
    <row r="125" spans="1:21" s="62" customFormat="1" ht="21.75" customHeight="1" x14ac:dyDescent="0.35">
      <c r="A125" s="75">
        <v>121</v>
      </c>
      <c r="B125" s="76"/>
      <c r="C125" s="77"/>
      <c r="D125" s="78"/>
      <c r="E125" s="76"/>
      <c r="F125" s="79"/>
      <c r="G125" s="79"/>
      <c r="H125" s="79"/>
      <c r="I125" s="80">
        <f>'الإفاقة القلبية'!$H125-'الإفاقة القلبية'!$F125</f>
        <v>0</v>
      </c>
      <c r="J125" s="81"/>
      <c r="K125" s="79"/>
      <c r="L125" s="80">
        <f>'الإفاقة القلبية'!$K125-'الإفاقة القلبية'!$G125</f>
        <v>0</v>
      </c>
      <c r="M125" s="76"/>
      <c r="N125" s="76"/>
      <c r="O125" s="74" t="str">
        <f>IF(Table6[[#This Row],[تاريخ حدوث توقف القلب
mm/dd/yyyy]]="","",TEXT(Table6[[#This Row],[تاريخ حدوث توقف القلب
mm/dd/yyyy]],"mmm-yyyy"))</f>
        <v/>
      </c>
      <c r="U125" s="62">
        <v>10</v>
      </c>
    </row>
    <row r="126" spans="1:21" s="91" customFormat="1" ht="21.75" customHeight="1" x14ac:dyDescent="0.35">
      <c r="A126" s="92">
        <v>122</v>
      </c>
      <c r="B126" s="93"/>
      <c r="C126" s="94"/>
      <c r="D126" s="95"/>
      <c r="E126" s="93"/>
      <c r="F126" s="96"/>
      <c r="G126" s="96"/>
      <c r="H126" s="96"/>
      <c r="I126" s="97">
        <f>'الإفاقة القلبية'!$H126-'الإفاقة القلبية'!$F126</f>
        <v>0</v>
      </c>
      <c r="J126" s="98"/>
      <c r="K126" s="96"/>
      <c r="L126" s="97">
        <f>'الإفاقة القلبية'!$K126-'الإفاقة القلبية'!$G126</f>
        <v>0</v>
      </c>
      <c r="M126" s="93"/>
      <c r="N126" s="93"/>
      <c r="O126" s="99" t="str">
        <f>IF(Table6[[#This Row],[تاريخ حدوث توقف القلب
mm/dd/yyyy]]="","",TEXT(Table6[[#This Row],[تاريخ حدوث توقف القلب
mm/dd/yyyy]],"mmm-yyyy"))</f>
        <v/>
      </c>
      <c r="U126" s="91">
        <v>10</v>
      </c>
    </row>
    <row r="127" spans="1:21" s="62" customFormat="1" ht="21.75" customHeight="1" x14ac:dyDescent="0.35">
      <c r="A127" s="75">
        <v>123</v>
      </c>
      <c r="B127" s="76"/>
      <c r="C127" s="77"/>
      <c r="D127" s="78"/>
      <c r="E127" s="76"/>
      <c r="F127" s="79"/>
      <c r="G127" s="79"/>
      <c r="H127" s="79"/>
      <c r="I127" s="80">
        <f>'الإفاقة القلبية'!$H127-'الإفاقة القلبية'!$F127</f>
        <v>0</v>
      </c>
      <c r="J127" s="81"/>
      <c r="K127" s="79"/>
      <c r="L127" s="80">
        <f>'الإفاقة القلبية'!$K127-'الإفاقة القلبية'!$G127</f>
        <v>0</v>
      </c>
      <c r="M127" s="76"/>
      <c r="N127" s="76"/>
      <c r="O127" s="74" t="str">
        <f>IF(Table6[[#This Row],[تاريخ حدوث توقف القلب
mm/dd/yyyy]]="","",TEXT(Table6[[#This Row],[تاريخ حدوث توقف القلب
mm/dd/yyyy]],"mmm-yyyy"))</f>
        <v/>
      </c>
      <c r="U127" s="62">
        <v>10</v>
      </c>
    </row>
    <row r="128" spans="1:21" s="91" customFormat="1" ht="21.75" customHeight="1" x14ac:dyDescent="0.35">
      <c r="A128" s="92">
        <v>124</v>
      </c>
      <c r="B128" s="93"/>
      <c r="C128" s="94"/>
      <c r="D128" s="95"/>
      <c r="E128" s="93"/>
      <c r="F128" s="96"/>
      <c r="G128" s="96"/>
      <c r="H128" s="96"/>
      <c r="I128" s="97">
        <f>'الإفاقة القلبية'!$H128-'الإفاقة القلبية'!$F128</f>
        <v>0</v>
      </c>
      <c r="J128" s="98"/>
      <c r="K128" s="96"/>
      <c r="L128" s="97">
        <f>'الإفاقة القلبية'!$K128-'الإفاقة القلبية'!$G128</f>
        <v>0</v>
      </c>
      <c r="M128" s="93"/>
      <c r="N128" s="93"/>
      <c r="O128" s="99" t="str">
        <f>IF(Table6[[#This Row],[تاريخ حدوث توقف القلب
mm/dd/yyyy]]="","",TEXT(Table6[[#This Row],[تاريخ حدوث توقف القلب
mm/dd/yyyy]],"mmm-yyyy"))</f>
        <v/>
      </c>
      <c r="U128" s="91">
        <v>10</v>
      </c>
    </row>
    <row r="129" spans="1:21" s="62" customFormat="1" ht="21.75" customHeight="1" x14ac:dyDescent="0.35">
      <c r="A129" s="75">
        <v>125</v>
      </c>
      <c r="B129" s="76"/>
      <c r="C129" s="77"/>
      <c r="D129" s="78"/>
      <c r="E129" s="76"/>
      <c r="F129" s="79"/>
      <c r="G129" s="79"/>
      <c r="H129" s="79"/>
      <c r="I129" s="80">
        <f>'الإفاقة القلبية'!$H129-'الإفاقة القلبية'!$F129</f>
        <v>0</v>
      </c>
      <c r="J129" s="81"/>
      <c r="K129" s="79"/>
      <c r="L129" s="80">
        <f>'الإفاقة القلبية'!$K129-'الإفاقة القلبية'!$G129</f>
        <v>0</v>
      </c>
      <c r="M129" s="76"/>
      <c r="N129" s="76"/>
      <c r="O129" s="74" t="str">
        <f>IF(Table6[[#This Row],[تاريخ حدوث توقف القلب
mm/dd/yyyy]]="","",TEXT(Table6[[#This Row],[تاريخ حدوث توقف القلب
mm/dd/yyyy]],"mmm-yyyy"))</f>
        <v/>
      </c>
      <c r="U129" s="62">
        <v>10</v>
      </c>
    </row>
    <row r="130" spans="1:21" s="91" customFormat="1" ht="21.75" customHeight="1" x14ac:dyDescent="0.35">
      <c r="A130" s="92">
        <v>126</v>
      </c>
      <c r="B130" s="93"/>
      <c r="C130" s="94"/>
      <c r="D130" s="95"/>
      <c r="E130" s="93"/>
      <c r="F130" s="96"/>
      <c r="G130" s="96"/>
      <c r="H130" s="96"/>
      <c r="I130" s="97">
        <f>'الإفاقة القلبية'!$H130-'الإفاقة القلبية'!$F130</f>
        <v>0</v>
      </c>
      <c r="J130" s="98"/>
      <c r="K130" s="96"/>
      <c r="L130" s="97">
        <f>'الإفاقة القلبية'!$K130-'الإفاقة القلبية'!$G130</f>
        <v>0</v>
      </c>
      <c r="M130" s="93"/>
      <c r="N130" s="93"/>
      <c r="O130" s="99" t="str">
        <f>IF(Table6[[#This Row],[تاريخ حدوث توقف القلب
mm/dd/yyyy]]="","",TEXT(Table6[[#This Row],[تاريخ حدوث توقف القلب
mm/dd/yyyy]],"mmm-yyyy"))</f>
        <v/>
      </c>
      <c r="U130" s="91">
        <v>10</v>
      </c>
    </row>
    <row r="131" spans="1:21" s="62" customFormat="1" ht="21.75" customHeight="1" x14ac:dyDescent="0.35">
      <c r="A131" s="75">
        <v>127</v>
      </c>
      <c r="B131" s="76"/>
      <c r="C131" s="77"/>
      <c r="D131" s="78"/>
      <c r="E131" s="76"/>
      <c r="F131" s="79"/>
      <c r="G131" s="79"/>
      <c r="H131" s="79"/>
      <c r="I131" s="80">
        <f>'الإفاقة القلبية'!$H131-'الإفاقة القلبية'!$F131</f>
        <v>0</v>
      </c>
      <c r="J131" s="81"/>
      <c r="K131" s="79"/>
      <c r="L131" s="80">
        <f>'الإفاقة القلبية'!$K131-'الإفاقة القلبية'!$G131</f>
        <v>0</v>
      </c>
      <c r="M131" s="76"/>
      <c r="N131" s="76"/>
      <c r="O131" s="74" t="str">
        <f>IF(Table6[[#This Row],[تاريخ حدوث توقف القلب
mm/dd/yyyy]]="","",TEXT(Table6[[#This Row],[تاريخ حدوث توقف القلب
mm/dd/yyyy]],"mmm-yyyy"))</f>
        <v/>
      </c>
      <c r="U131" s="62">
        <v>10</v>
      </c>
    </row>
    <row r="132" spans="1:21" s="91" customFormat="1" ht="21.75" customHeight="1" x14ac:dyDescent="0.35">
      <c r="A132" s="92">
        <v>128</v>
      </c>
      <c r="B132" s="93"/>
      <c r="C132" s="94"/>
      <c r="D132" s="95"/>
      <c r="E132" s="93"/>
      <c r="F132" s="96"/>
      <c r="G132" s="96"/>
      <c r="H132" s="96"/>
      <c r="I132" s="97">
        <f>'الإفاقة القلبية'!$H132-'الإفاقة القلبية'!$F132</f>
        <v>0</v>
      </c>
      <c r="J132" s="98"/>
      <c r="K132" s="96"/>
      <c r="L132" s="97">
        <f>'الإفاقة القلبية'!$K132-'الإفاقة القلبية'!$G132</f>
        <v>0</v>
      </c>
      <c r="M132" s="93"/>
      <c r="N132" s="93"/>
      <c r="O132" s="99" t="str">
        <f>IF(Table6[[#This Row],[تاريخ حدوث توقف القلب
mm/dd/yyyy]]="","",TEXT(Table6[[#This Row],[تاريخ حدوث توقف القلب
mm/dd/yyyy]],"mmm-yyyy"))</f>
        <v/>
      </c>
      <c r="U132" s="91">
        <v>10</v>
      </c>
    </row>
    <row r="133" spans="1:21" s="62" customFormat="1" ht="21.75" customHeight="1" x14ac:dyDescent="0.35">
      <c r="A133" s="75">
        <v>129</v>
      </c>
      <c r="B133" s="76"/>
      <c r="C133" s="77"/>
      <c r="D133" s="78"/>
      <c r="E133" s="76"/>
      <c r="F133" s="79"/>
      <c r="G133" s="79"/>
      <c r="H133" s="79"/>
      <c r="I133" s="80">
        <f>'الإفاقة القلبية'!$H133-'الإفاقة القلبية'!$F133</f>
        <v>0</v>
      </c>
      <c r="J133" s="81"/>
      <c r="K133" s="79"/>
      <c r="L133" s="80">
        <f>'الإفاقة القلبية'!$K133-'الإفاقة القلبية'!$G133</f>
        <v>0</v>
      </c>
      <c r="M133" s="76"/>
      <c r="N133" s="76"/>
      <c r="O133" s="74" t="str">
        <f>IF(Table6[[#This Row],[تاريخ حدوث توقف القلب
mm/dd/yyyy]]="","",TEXT(Table6[[#This Row],[تاريخ حدوث توقف القلب
mm/dd/yyyy]],"mmm-yyyy"))</f>
        <v/>
      </c>
      <c r="U133" s="62">
        <v>10</v>
      </c>
    </row>
    <row r="134" spans="1:21" s="91" customFormat="1" ht="21.75" customHeight="1" x14ac:dyDescent="0.35">
      <c r="A134" s="92">
        <v>130</v>
      </c>
      <c r="B134" s="93"/>
      <c r="C134" s="94"/>
      <c r="D134" s="95"/>
      <c r="E134" s="93"/>
      <c r="F134" s="96"/>
      <c r="G134" s="96"/>
      <c r="H134" s="96"/>
      <c r="I134" s="97">
        <f>'الإفاقة القلبية'!$H134-'الإفاقة القلبية'!$F134</f>
        <v>0</v>
      </c>
      <c r="J134" s="98"/>
      <c r="K134" s="96"/>
      <c r="L134" s="97">
        <f>'الإفاقة القلبية'!$K134-'الإفاقة القلبية'!$G134</f>
        <v>0</v>
      </c>
      <c r="M134" s="93"/>
      <c r="N134" s="93"/>
      <c r="O134" s="99" t="str">
        <f>IF(Table6[[#This Row],[تاريخ حدوث توقف القلب
mm/dd/yyyy]]="","",TEXT(Table6[[#This Row],[تاريخ حدوث توقف القلب
mm/dd/yyyy]],"mmm-yyyy"))</f>
        <v/>
      </c>
      <c r="U134" s="91">
        <v>10</v>
      </c>
    </row>
    <row r="135" spans="1:21" s="62" customFormat="1" ht="21.75" customHeight="1" x14ac:dyDescent="0.35">
      <c r="A135" s="75">
        <v>131</v>
      </c>
      <c r="B135" s="76"/>
      <c r="C135" s="77"/>
      <c r="D135" s="78"/>
      <c r="E135" s="76"/>
      <c r="F135" s="79"/>
      <c r="G135" s="79"/>
      <c r="H135" s="79"/>
      <c r="I135" s="80">
        <f>'الإفاقة القلبية'!$H135-'الإفاقة القلبية'!$F135</f>
        <v>0</v>
      </c>
      <c r="J135" s="81"/>
      <c r="K135" s="79"/>
      <c r="L135" s="80">
        <f>'الإفاقة القلبية'!$K135-'الإفاقة القلبية'!$G135</f>
        <v>0</v>
      </c>
      <c r="M135" s="76"/>
      <c r="N135" s="76"/>
      <c r="O135" s="74" t="str">
        <f>IF(Table6[[#This Row],[تاريخ حدوث توقف القلب
mm/dd/yyyy]]="","",TEXT(Table6[[#This Row],[تاريخ حدوث توقف القلب
mm/dd/yyyy]],"mmm-yyyy"))</f>
        <v/>
      </c>
      <c r="U135" s="62">
        <v>10</v>
      </c>
    </row>
    <row r="136" spans="1:21" s="91" customFormat="1" ht="21.75" customHeight="1" x14ac:dyDescent="0.35">
      <c r="A136" s="92">
        <v>132</v>
      </c>
      <c r="B136" s="93"/>
      <c r="C136" s="94"/>
      <c r="D136" s="95"/>
      <c r="E136" s="93"/>
      <c r="F136" s="96"/>
      <c r="G136" s="96"/>
      <c r="H136" s="96"/>
      <c r="I136" s="97">
        <f>'الإفاقة القلبية'!$H136-'الإفاقة القلبية'!$F136</f>
        <v>0</v>
      </c>
      <c r="J136" s="98"/>
      <c r="K136" s="96"/>
      <c r="L136" s="97">
        <f>'الإفاقة القلبية'!$K136-'الإفاقة القلبية'!$G136</f>
        <v>0</v>
      </c>
      <c r="M136" s="93"/>
      <c r="N136" s="93"/>
      <c r="O136" s="99" t="str">
        <f>IF(Table6[[#This Row],[تاريخ حدوث توقف القلب
mm/dd/yyyy]]="","",TEXT(Table6[[#This Row],[تاريخ حدوث توقف القلب
mm/dd/yyyy]],"mmm-yyyy"))</f>
        <v/>
      </c>
      <c r="U136" s="91">
        <v>10</v>
      </c>
    </row>
    <row r="137" spans="1:21" s="62" customFormat="1" ht="21.75" customHeight="1" x14ac:dyDescent="0.35">
      <c r="A137" s="75">
        <v>133</v>
      </c>
      <c r="B137" s="76"/>
      <c r="C137" s="77"/>
      <c r="D137" s="78"/>
      <c r="E137" s="76"/>
      <c r="F137" s="79"/>
      <c r="G137" s="79"/>
      <c r="H137" s="79"/>
      <c r="I137" s="80">
        <f>'الإفاقة القلبية'!$H137-'الإفاقة القلبية'!$F137</f>
        <v>0</v>
      </c>
      <c r="J137" s="81"/>
      <c r="K137" s="79"/>
      <c r="L137" s="80">
        <f>'الإفاقة القلبية'!$K137-'الإفاقة القلبية'!$G137</f>
        <v>0</v>
      </c>
      <c r="M137" s="76"/>
      <c r="N137" s="76"/>
      <c r="O137" s="74" t="str">
        <f>IF(Table6[[#This Row],[تاريخ حدوث توقف القلب
mm/dd/yyyy]]="","",TEXT(Table6[[#This Row],[تاريخ حدوث توقف القلب
mm/dd/yyyy]],"mmm-yyyy"))</f>
        <v/>
      </c>
      <c r="U137" s="62">
        <v>10</v>
      </c>
    </row>
    <row r="138" spans="1:21" s="91" customFormat="1" ht="21.75" customHeight="1" x14ac:dyDescent="0.35">
      <c r="A138" s="92">
        <v>134</v>
      </c>
      <c r="B138" s="93"/>
      <c r="C138" s="94"/>
      <c r="D138" s="95"/>
      <c r="E138" s="93"/>
      <c r="F138" s="96"/>
      <c r="G138" s="96"/>
      <c r="H138" s="96"/>
      <c r="I138" s="97">
        <f>'الإفاقة القلبية'!$H138-'الإفاقة القلبية'!$F138</f>
        <v>0</v>
      </c>
      <c r="J138" s="98"/>
      <c r="K138" s="96"/>
      <c r="L138" s="97">
        <f>'الإفاقة القلبية'!$K138-'الإفاقة القلبية'!$G138</f>
        <v>0</v>
      </c>
      <c r="M138" s="93"/>
      <c r="N138" s="93"/>
      <c r="O138" s="99" t="str">
        <f>IF(Table6[[#This Row],[تاريخ حدوث توقف القلب
mm/dd/yyyy]]="","",TEXT(Table6[[#This Row],[تاريخ حدوث توقف القلب
mm/dd/yyyy]],"mmm-yyyy"))</f>
        <v/>
      </c>
      <c r="U138" s="91">
        <v>10</v>
      </c>
    </row>
    <row r="139" spans="1:21" s="62" customFormat="1" ht="21.75" customHeight="1" x14ac:dyDescent="0.35">
      <c r="A139" s="75">
        <v>135</v>
      </c>
      <c r="B139" s="76"/>
      <c r="C139" s="77"/>
      <c r="D139" s="78"/>
      <c r="E139" s="76"/>
      <c r="F139" s="79"/>
      <c r="G139" s="79"/>
      <c r="H139" s="79"/>
      <c r="I139" s="80">
        <f>'الإفاقة القلبية'!$H139-'الإفاقة القلبية'!$F139</f>
        <v>0</v>
      </c>
      <c r="J139" s="81"/>
      <c r="K139" s="79"/>
      <c r="L139" s="80">
        <f>'الإفاقة القلبية'!$K139-'الإفاقة القلبية'!$G139</f>
        <v>0</v>
      </c>
      <c r="M139" s="76"/>
      <c r="N139" s="76"/>
      <c r="O139" s="74" t="str">
        <f>IF(Table6[[#This Row],[تاريخ حدوث توقف القلب
mm/dd/yyyy]]="","",TEXT(Table6[[#This Row],[تاريخ حدوث توقف القلب
mm/dd/yyyy]],"mmm-yyyy"))</f>
        <v/>
      </c>
      <c r="U139" s="62">
        <v>10</v>
      </c>
    </row>
    <row r="140" spans="1:21" s="91" customFormat="1" ht="21.75" customHeight="1" x14ac:dyDescent="0.35">
      <c r="A140" s="92">
        <v>136</v>
      </c>
      <c r="B140" s="93"/>
      <c r="C140" s="94"/>
      <c r="D140" s="95"/>
      <c r="E140" s="93"/>
      <c r="F140" s="96"/>
      <c r="G140" s="96"/>
      <c r="H140" s="96"/>
      <c r="I140" s="97">
        <f>'الإفاقة القلبية'!$H140-'الإفاقة القلبية'!$F140</f>
        <v>0</v>
      </c>
      <c r="J140" s="98"/>
      <c r="K140" s="96"/>
      <c r="L140" s="97">
        <f>'الإفاقة القلبية'!$K140-'الإفاقة القلبية'!$G140</f>
        <v>0</v>
      </c>
      <c r="M140" s="93"/>
      <c r="N140" s="93"/>
      <c r="O140" s="99" t="str">
        <f>IF(Table6[[#This Row],[تاريخ حدوث توقف القلب
mm/dd/yyyy]]="","",TEXT(Table6[[#This Row],[تاريخ حدوث توقف القلب
mm/dd/yyyy]],"mmm-yyyy"))</f>
        <v/>
      </c>
      <c r="U140" s="91">
        <v>10</v>
      </c>
    </row>
    <row r="141" spans="1:21" s="62" customFormat="1" ht="21.75" customHeight="1" x14ac:dyDescent="0.35">
      <c r="A141" s="75">
        <v>137</v>
      </c>
      <c r="B141" s="76"/>
      <c r="C141" s="77"/>
      <c r="D141" s="78"/>
      <c r="E141" s="76"/>
      <c r="F141" s="79"/>
      <c r="G141" s="79"/>
      <c r="H141" s="79"/>
      <c r="I141" s="80">
        <f>'الإفاقة القلبية'!$H141-'الإفاقة القلبية'!$F141</f>
        <v>0</v>
      </c>
      <c r="J141" s="81"/>
      <c r="K141" s="79"/>
      <c r="L141" s="80">
        <f>'الإفاقة القلبية'!$K141-'الإفاقة القلبية'!$G141</f>
        <v>0</v>
      </c>
      <c r="M141" s="76"/>
      <c r="N141" s="76"/>
      <c r="O141" s="74" t="str">
        <f>IF(Table6[[#This Row],[تاريخ حدوث توقف القلب
mm/dd/yyyy]]="","",TEXT(Table6[[#This Row],[تاريخ حدوث توقف القلب
mm/dd/yyyy]],"mmm-yyyy"))</f>
        <v/>
      </c>
      <c r="U141" s="62">
        <v>10</v>
      </c>
    </row>
    <row r="142" spans="1:21" s="91" customFormat="1" ht="21.75" customHeight="1" x14ac:dyDescent="0.35">
      <c r="A142" s="92">
        <v>138</v>
      </c>
      <c r="B142" s="93"/>
      <c r="C142" s="94"/>
      <c r="D142" s="95"/>
      <c r="E142" s="93"/>
      <c r="F142" s="96"/>
      <c r="G142" s="96"/>
      <c r="H142" s="96"/>
      <c r="I142" s="97">
        <f>'الإفاقة القلبية'!$H142-'الإفاقة القلبية'!$F142</f>
        <v>0</v>
      </c>
      <c r="J142" s="98"/>
      <c r="K142" s="96"/>
      <c r="L142" s="97">
        <f>'الإفاقة القلبية'!$K142-'الإفاقة القلبية'!$G142</f>
        <v>0</v>
      </c>
      <c r="M142" s="93"/>
      <c r="N142" s="93"/>
      <c r="O142" s="99" t="str">
        <f>IF(Table6[[#This Row],[تاريخ حدوث توقف القلب
mm/dd/yyyy]]="","",TEXT(Table6[[#This Row],[تاريخ حدوث توقف القلب
mm/dd/yyyy]],"mmm-yyyy"))</f>
        <v/>
      </c>
      <c r="U142" s="91">
        <v>10</v>
      </c>
    </row>
    <row r="143" spans="1:21" s="62" customFormat="1" ht="21.75" customHeight="1" x14ac:dyDescent="0.35">
      <c r="A143" s="75">
        <v>139</v>
      </c>
      <c r="B143" s="76"/>
      <c r="C143" s="77"/>
      <c r="D143" s="78"/>
      <c r="E143" s="76"/>
      <c r="F143" s="79"/>
      <c r="G143" s="79"/>
      <c r="H143" s="79"/>
      <c r="I143" s="80">
        <f>'الإفاقة القلبية'!$H143-'الإفاقة القلبية'!$F143</f>
        <v>0</v>
      </c>
      <c r="J143" s="81"/>
      <c r="K143" s="79"/>
      <c r="L143" s="80">
        <f>'الإفاقة القلبية'!$K143-'الإفاقة القلبية'!$G143</f>
        <v>0</v>
      </c>
      <c r="M143" s="76"/>
      <c r="N143" s="76"/>
      <c r="O143" s="74" t="str">
        <f>IF(Table6[[#This Row],[تاريخ حدوث توقف القلب
mm/dd/yyyy]]="","",TEXT(Table6[[#This Row],[تاريخ حدوث توقف القلب
mm/dd/yyyy]],"mmm-yyyy"))</f>
        <v/>
      </c>
      <c r="U143" s="62">
        <v>10</v>
      </c>
    </row>
    <row r="144" spans="1:21" s="91" customFormat="1" ht="21.75" customHeight="1" x14ac:dyDescent="0.35">
      <c r="A144" s="92">
        <v>140</v>
      </c>
      <c r="B144" s="93"/>
      <c r="C144" s="94"/>
      <c r="D144" s="95"/>
      <c r="E144" s="93"/>
      <c r="F144" s="96"/>
      <c r="G144" s="96"/>
      <c r="H144" s="96"/>
      <c r="I144" s="97">
        <f>'الإفاقة القلبية'!$H144-'الإفاقة القلبية'!$F144</f>
        <v>0</v>
      </c>
      <c r="J144" s="98"/>
      <c r="K144" s="96"/>
      <c r="L144" s="97">
        <f>'الإفاقة القلبية'!$K144-'الإفاقة القلبية'!$G144</f>
        <v>0</v>
      </c>
      <c r="M144" s="93"/>
      <c r="N144" s="93"/>
      <c r="O144" s="99" t="str">
        <f>IF(Table6[[#This Row],[تاريخ حدوث توقف القلب
mm/dd/yyyy]]="","",TEXT(Table6[[#This Row],[تاريخ حدوث توقف القلب
mm/dd/yyyy]],"mmm-yyyy"))</f>
        <v/>
      </c>
      <c r="U144" s="91">
        <v>10</v>
      </c>
    </row>
    <row r="145" spans="1:21" s="62" customFormat="1" ht="21.75" customHeight="1" x14ac:dyDescent="0.35">
      <c r="A145" s="75">
        <v>141</v>
      </c>
      <c r="B145" s="76"/>
      <c r="C145" s="77"/>
      <c r="D145" s="78"/>
      <c r="E145" s="76"/>
      <c r="F145" s="79"/>
      <c r="G145" s="79"/>
      <c r="H145" s="79"/>
      <c r="I145" s="80">
        <f>'الإفاقة القلبية'!$H145-'الإفاقة القلبية'!$F145</f>
        <v>0</v>
      </c>
      <c r="J145" s="81"/>
      <c r="K145" s="79"/>
      <c r="L145" s="80">
        <f>'الإفاقة القلبية'!$K145-'الإفاقة القلبية'!$G145</f>
        <v>0</v>
      </c>
      <c r="M145" s="76"/>
      <c r="N145" s="76"/>
      <c r="O145" s="74" t="str">
        <f>IF(Table6[[#This Row],[تاريخ حدوث توقف القلب
mm/dd/yyyy]]="","",TEXT(Table6[[#This Row],[تاريخ حدوث توقف القلب
mm/dd/yyyy]],"mmm-yyyy"))</f>
        <v/>
      </c>
      <c r="U145" s="62">
        <v>10</v>
      </c>
    </row>
    <row r="146" spans="1:21" s="91" customFormat="1" ht="21.75" customHeight="1" x14ac:dyDescent="0.35">
      <c r="A146" s="92">
        <v>142</v>
      </c>
      <c r="B146" s="93"/>
      <c r="C146" s="94"/>
      <c r="D146" s="95"/>
      <c r="E146" s="93"/>
      <c r="F146" s="96"/>
      <c r="G146" s="96"/>
      <c r="H146" s="96"/>
      <c r="I146" s="97">
        <f>'الإفاقة القلبية'!$H146-'الإفاقة القلبية'!$F146</f>
        <v>0</v>
      </c>
      <c r="J146" s="98"/>
      <c r="K146" s="96"/>
      <c r="L146" s="97">
        <f>'الإفاقة القلبية'!$K146-'الإفاقة القلبية'!$G146</f>
        <v>0</v>
      </c>
      <c r="M146" s="93"/>
      <c r="N146" s="93"/>
      <c r="O146" s="99" t="str">
        <f>IF(Table6[[#This Row],[تاريخ حدوث توقف القلب
mm/dd/yyyy]]="","",TEXT(Table6[[#This Row],[تاريخ حدوث توقف القلب
mm/dd/yyyy]],"mmm-yyyy"))</f>
        <v/>
      </c>
      <c r="U146" s="91">
        <v>10</v>
      </c>
    </row>
    <row r="147" spans="1:21" s="62" customFormat="1" ht="21.75" customHeight="1" x14ac:dyDescent="0.35">
      <c r="A147" s="75">
        <v>143</v>
      </c>
      <c r="B147" s="76"/>
      <c r="C147" s="77"/>
      <c r="D147" s="78"/>
      <c r="E147" s="76"/>
      <c r="F147" s="79"/>
      <c r="G147" s="79"/>
      <c r="H147" s="79"/>
      <c r="I147" s="80">
        <f>'الإفاقة القلبية'!$H147-'الإفاقة القلبية'!$F147</f>
        <v>0</v>
      </c>
      <c r="J147" s="81"/>
      <c r="K147" s="79"/>
      <c r="L147" s="80">
        <f>'الإفاقة القلبية'!$K147-'الإفاقة القلبية'!$G147</f>
        <v>0</v>
      </c>
      <c r="M147" s="76"/>
      <c r="N147" s="76"/>
      <c r="O147" s="74" t="str">
        <f>IF(Table6[[#This Row],[تاريخ حدوث توقف القلب
mm/dd/yyyy]]="","",TEXT(Table6[[#This Row],[تاريخ حدوث توقف القلب
mm/dd/yyyy]],"mmm-yyyy"))</f>
        <v/>
      </c>
      <c r="U147" s="62">
        <v>10</v>
      </c>
    </row>
    <row r="148" spans="1:21" s="91" customFormat="1" ht="21.75" customHeight="1" x14ac:dyDescent="0.35">
      <c r="A148" s="92">
        <v>144</v>
      </c>
      <c r="B148" s="93"/>
      <c r="C148" s="94"/>
      <c r="D148" s="95"/>
      <c r="E148" s="93"/>
      <c r="F148" s="96"/>
      <c r="G148" s="96"/>
      <c r="H148" s="96"/>
      <c r="I148" s="97">
        <f>'الإفاقة القلبية'!$H148-'الإفاقة القلبية'!$F148</f>
        <v>0</v>
      </c>
      <c r="J148" s="98"/>
      <c r="K148" s="96"/>
      <c r="L148" s="97">
        <f>'الإفاقة القلبية'!$K148-'الإفاقة القلبية'!$G148</f>
        <v>0</v>
      </c>
      <c r="M148" s="93"/>
      <c r="N148" s="93"/>
      <c r="O148" s="99" t="str">
        <f>IF(Table6[[#This Row],[تاريخ حدوث توقف القلب
mm/dd/yyyy]]="","",TEXT(Table6[[#This Row],[تاريخ حدوث توقف القلب
mm/dd/yyyy]],"mmm-yyyy"))</f>
        <v/>
      </c>
      <c r="U148" s="91">
        <v>10</v>
      </c>
    </row>
    <row r="149" spans="1:21" s="62" customFormat="1" ht="21.75" customHeight="1" x14ac:dyDescent="0.35">
      <c r="A149" s="75">
        <v>145</v>
      </c>
      <c r="B149" s="76"/>
      <c r="C149" s="77"/>
      <c r="D149" s="78"/>
      <c r="E149" s="76"/>
      <c r="F149" s="79"/>
      <c r="G149" s="79"/>
      <c r="H149" s="79"/>
      <c r="I149" s="80">
        <f>'الإفاقة القلبية'!$H149-'الإفاقة القلبية'!$F149</f>
        <v>0</v>
      </c>
      <c r="J149" s="81"/>
      <c r="K149" s="79"/>
      <c r="L149" s="80">
        <f>'الإفاقة القلبية'!$K149-'الإفاقة القلبية'!$G149</f>
        <v>0</v>
      </c>
      <c r="M149" s="76"/>
      <c r="N149" s="76"/>
      <c r="O149" s="74" t="str">
        <f>IF(Table6[[#This Row],[تاريخ حدوث توقف القلب
mm/dd/yyyy]]="","",TEXT(Table6[[#This Row],[تاريخ حدوث توقف القلب
mm/dd/yyyy]],"mmm-yyyy"))</f>
        <v/>
      </c>
      <c r="U149" s="62">
        <v>10</v>
      </c>
    </row>
    <row r="150" spans="1:21" s="91" customFormat="1" ht="21.75" customHeight="1" x14ac:dyDescent="0.35">
      <c r="A150" s="92">
        <v>146</v>
      </c>
      <c r="B150" s="93"/>
      <c r="C150" s="94"/>
      <c r="D150" s="95"/>
      <c r="E150" s="93"/>
      <c r="F150" s="96"/>
      <c r="G150" s="96"/>
      <c r="H150" s="96"/>
      <c r="I150" s="97">
        <f>'الإفاقة القلبية'!$H150-'الإفاقة القلبية'!$F150</f>
        <v>0</v>
      </c>
      <c r="J150" s="98"/>
      <c r="K150" s="96"/>
      <c r="L150" s="97">
        <f>'الإفاقة القلبية'!$K150-'الإفاقة القلبية'!$G150</f>
        <v>0</v>
      </c>
      <c r="M150" s="93"/>
      <c r="N150" s="93"/>
      <c r="O150" s="99" t="str">
        <f>IF(Table6[[#This Row],[تاريخ حدوث توقف القلب
mm/dd/yyyy]]="","",TEXT(Table6[[#This Row],[تاريخ حدوث توقف القلب
mm/dd/yyyy]],"mmm-yyyy"))</f>
        <v/>
      </c>
      <c r="U150" s="91">
        <v>10</v>
      </c>
    </row>
    <row r="151" spans="1:21" s="62" customFormat="1" ht="21.75" customHeight="1" x14ac:dyDescent="0.35">
      <c r="A151" s="75">
        <v>147</v>
      </c>
      <c r="B151" s="76"/>
      <c r="C151" s="77"/>
      <c r="D151" s="78"/>
      <c r="E151" s="76"/>
      <c r="F151" s="79"/>
      <c r="G151" s="79"/>
      <c r="H151" s="79"/>
      <c r="I151" s="80">
        <f>'الإفاقة القلبية'!$H151-'الإفاقة القلبية'!$F151</f>
        <v>0</v>
      </c>
      <c r="J151" s="81"/>
      <c r="K151" s="79"/>
      <c r="L151" s="80">
        <f>'الإفاقة القلبية'!$K151-'الإفاقة القلبية'!$G151</f>
        <v>0</v>
      </c>
      <c r="M151" s="76"/>
      <c r="N151" s="76"/>
      <c r="O151" s="74" t="str">
        <f>IF(Table6[[#This Row],[تاريخ حدوث توقف القلب
mm/dd/yyyy]]="","",TEXT(Table6[[#This Row],[تاريخ حدوث توقف القلب
mm/dd/yyyy]],"mmm-yyyy"))</f>
        <v/>
      </c>
      <c r="U151" s="62">
        <v>10</v>
      </c>
    </row>
    <row r="152" spans="1:21" s="91" customFormat="1" ht="21.75" customHeight="1" x14ac:dyDescent="0.35">
      <c r="A152" s="92">
        <v>148</v>
      </c>
      <c r="B152" s="93"/>
      <c r="C152" s="94"/>
      <c r="D152" s="95"/>
      <c r="E152" s="93"/>
      <c r="F152" s="96"/>
      <c r="G152" s="96"/>
      <c r="H152" s="96"/>
      <c r="I152" s="97">
        <f>'الإفاقة القلبية'!$H152-'الإفاقة القلبية'!$F152</f>
        <v>0</v>
      </c>
      <c r="J152" s="98"/>
      <c r="K152" s="96"/>
      <c r="L152" s="97">
        <f>'الإفاقة القلبية'!$K152-'الإفاقة القلبية'!$G152</f>
        <v>0</v>
      </c>
      <c r="M152" s="93"/>
      <c r="N152" s="93"/>
      <c r="O152" s="99" t="str">
        <f>IF(Table6[[#This Row],[تاريخ حدوث توقف القلب
mm/dd/yyyy]]="","",TEXT(Table6[[#This Row],[تاريخ حدوث توقف القلب
mm/dd/yyyy]],"mmm-yyyy"))</f>
        <v/>
      </c>
      <c r="U152" s="91">
        <v>10</v>
      </c>
    </row>
    <row r="153" spans="1:21" s="62" customFormat="1" ht="21.75" customHeight="1" x14ac:dyDescent="0.35">
      <c r="A153" s="75">
        <v>149</v>
      </c>
      <c r="B153" s="76"/>
      <c r="C153" s="77"/>
      <c r="D153" s="78"/>
      <c r="E153" s="76"/>
      <c r="F153" s="79"/>
      <c r="G153" s="79"/>
      <c r="H153" s="79"/>
      <c r="I153" s="80">
        <f>'الإفاقة القلبية'!$H153-'الإفاقة القلبية'!$F153</f>
        <v>0</v>
      </c>
      <c r="J153" s="81"/>
      <c r="K153" s="79"/>
      <c r="L153" s="80">
        <f>'الإفاقة القلبية'!$K153-'الإفاقة القلبية'!$G153</f>
        <v>0</v>
      </c>
      <c r="M153" s="76"/>
      <c r="N153" s="76"/>
      <c r="O153" s="74" t="str">
        <f>IF(Table6[[#This Row],[تاريخ حدوث توقف القلب
mm/dd/yyyy]]="","",TEXT(Table6[[#This Row],[تاريخ حدوث توقف القلب
mm/dd/yyyy]],"mmm-yyyy"))</f>
        <v/>
      </c>
      <c r="U153" s="62">
        <v>10</v>
      </c>
    </row>
    <row r="154" spans="1:21" s="91" customFormat="1" ht="21.75" customHeight="1" x14ac:dyDescent="0.35">
      <c r="A154" s="92">
        <v>150</v>
      </c>
      <c r="B154" s="93"/>
      <c r="C154" s="94"/>
      <c r="D154" s="95"/>
      <c r="E154" s="93"/>
      <c r="F154" s="96"/>
      <c r="G154" s="96"/>
      <c r="H154" s="96"/>
      <c r="I154" s="97">
        <f>'الإفاقة القلبية'!$H154-'الإفاقة القلبية'!$F154</f>
        <v>0</v>
      </c>
      <c r="J154" s="98"/>
      <c r="K154" s="96"/>
      <c r="L154" s="97">
        <f>'الإفاقة القلبية'!$K154-'الإفاقة القلبية'!$G154</f>
        <v>0</v>
      </c>
      <c r="M154" s="93"/>
      <c r="N154" s="93"/>
      <c r="O154" s="99" t="str">
        <f>IF(Table6[[#This Row],[تاريخ حدوث توقف القلب
mm/dd/yyyy]]="","",TEXT(Table6[[#This Row],[تاريخ حدوث توقف القلب
mm/dd/yyyy]],"mmm-yyyy"))</f>
        <v/>
      </c>
      <c r="U154" s="91">
        <v>10</v>
      </c>
    </row>
    <row r="155" spans="1:21" s="62" customFormat="1" ht="21.75" customHeight="1" x14ac:dyDescent="0.35">
      <c r="A155" s="75">
        <v>151</v>
      </c>
      <c r="B155" s="76"/>
      <c r="C155" s="77"/>
      <c r="D155" s="78"/>
      <c r="E155" s="76"/>
      <c r="F155" s="79"/>
      <c r="G155" s="79"/>
      <c r="H155" s="79"/>
      <c r="I155" s="80">
        <f>'الإفاقة القلبية'!$H155-'الإفاقة القلبية'!$F155</f>
        <v>0</v>
      </c>
      <c r="J155" s="81"/>
      <c r="K155" s="79"/>
      <c r="L155" s="80">
        <f>'الإفاقة القلبية'!$K155-'الإفاقة القلبية'!$G155</f>
        <v>0</v>
      </c>
      <c r="M155" s="76"/>
      <c r="N155" s="76"/>
      <c r="O155" s="74" t="str">
        <f>IF(Table6[[#This Row],[تاريخ حدوث توقف القلب
mm/dd/yyyy]]="","",TEXT(Table6[[#This Row],[تاريخ حدوث توقف القلب
mm/dd/yyyy]],"mmm-yyyy"))</f>
        <v/>
      </c>
      <c r="U155" s="62">
        <v>10</v>
      </c>
    </row>
    <row r="156" spans="1:21" s="91" customFormat="1" ht="21.75" customHeight="1" x14ac:dyDescent="0.35">
      <c r="A156" s="92">
        <v>152</v>
      </c>
      <c r="B156" s="93"/>
      <c r="C156" s="94"/>
      <c r="D156" s="95"/>
      <c r="E156" s="93"/>
      <c r="F156" s="96"/>
      <c r="G156" s="96"/>
      <c r="H156" s="96"/>
      <c r="I156" s="97">
        <f>'الإفاقة القلبية'!$H156-'الإفاقة القلبية'!$F156</f>
        <v>0</v>
      </c>
      <c r="J156" s="98"/>
      <c r="K156" s="96"/>
      <c r="L156" s="97">
        <f>'الإفاقة القلبية'!$K156-'الإفاقة القلبية'!$G156</f>
        <v>0</v>
      </c>
      <c r="M156" s="93"/>
      <c r="N156" s="93"/>
      <c r="O156" s="99" t="str">
        <f>IF(Table6[[#This Row],[تاريخ حدوث توقف القلب
mm/dd/yyyy]]="","",TEXT(Table6[[#This Row],[تاريخ حدوث توقف القلب
mm/dd/yyyy]],"mmm-yyyy"))</f>
        <v/>
      </c>
      <c r="U156" s="91">
        <v>10</v>
      </c>
    </row>
    <row r="157" spans="1:21" s="62" customFormat="1" ht="21.75" customHeight="1" x14ac:dyDescent="0.35">
      <c r="A157" s="75">
        <v>153</v>
      </c>
      <c r="B157" s="76"/>
      <c r="C157" s="77"/>
      <c r="D157" s="78"/>
      <c r="E157" s="76"/>
      <c r="F157" s="79"/>
      <c r="G157" s="79"/>
      <c r="H157" s="79"/>
      <c r="I157" s="80">
        <f>'الإفاقة القلبية'!$H157-'الإفاقة القلبية'!$F157</f>
        <v>0</v>
      </c>
      <c r="J157" s="81"/>
      <c r="K157" s="79"/>
      <c r="L157" s="80">
        <f>'الإفاقة القلبية'!$K157-'الإفاقة القلبية'!$G157</f>
        <v>0</v>
      </c>
      <c r="M157" s="76"/>
      <c r="N157" s="76"/>
      <c r="O157" s="74" t="str">
        <f>IF(Table6[[#This Row],[تاريخ حدوث توقف القلب
mm/dd/yyyy]]="","",TEXT(Table6[[#This Row],[تاريخ حدوث توقف القلب
mm/dd/yyyy]],"mmm-yyyy"))</f>
        <v/>
      </c>
      <c r="U157" s="62">
        <v>10</v>
      </c>
    </row>
    <row r="158" spans="1:21" s="91" customFormat="1" ht="21.75" customHeight="1" x14ac:dyDescent="0.35">
      <c r="A158" s="92">
        <v>154</v>
      </c>
      <c r="B158" s="93"/>
      <c r="C158" s="94"/>
      <c r="D158" s="95"/>
      <c r="E158" s="93"/>
      <c r="F158" s="96"/>
      <c r="G158" s="96"/>
      <c r="H158" s="96"/>
      <c r="I158" s="97">
        <f>'الإفاقة القلبية'!$H158-'الإفاقة القلبية'!$F158</f>
        <v>0</v>
      </c>
      <c r="J158" s="98"/>
      <c r="K158" s="96"/>
      <c r="L158" s="97">
        <f>'الإفاقة القلبية'!$K158-'الإفاقة القلبية'!$G158</f>
        <v>0</v>
      </c>
      <c r="M158" s="93"/>
      <c r="N158" s="93"/>
      <c r="O158" s="99" t="str">
        <f>IF(Table6[[#This Row],[تاريخ حدوث توقف القلب
mm/dd/yyyy]]="","",TEXT(Table6[[#This Row],[تاريخ حدوث توقف القلب
mm/dd/yyyy]],"mmm-yyyy"))</f>
        <v/>
      </c>
      <c r="U158" s="91">
        <v>10</v>
      </c>
    </row>
    <row r="159" spans="1:21" s="62" customFormat="1" ht="21.75" customHeight="1" x14ac:dyDescent="0.35">
      <c r="A159" s="75">
        <v>155</v>
      </c>
      <c r="B159" s="76"/>
      <c r="C159" s="77"/>
      <c r="D159" s="78"/>
      <c r="E159" s="76"/>
      <c r="F159" s="79"/>
      <c r="G159" s="79"/>
      <c r="H159" s="79"/>
      <c r="I159" s="80">
        <f>'الإفاقة القلبية'!$H159-'الإفاقة القلبية'!$F159</f>
        <v>0</v>
      </c>
      <c r="J159" s="81"/>
      <c r="K159" s="79"/>
      <c r="L159" s="80">
        <f>'الإفاقة القلبية'!$K159-'الإفاقة القلبية'!$G159</f>
        <v>0</v>
      </c>
      <c r="M159" s="76"/>
      <c r="N159" s="76"/>
      <c r="O159" s="74" t="str">
        <f>IF(Table6[[#This Row],[تاريخ حدوث توقف القلب
mm/dd/yyyy]]="","",TEXT(Table6[[#This Row],[تاريخ حدوث توقف القلب
mm/dd/yyyy]],"mmm-yyyy"))</f>
        <v/>
      </c>
      <c r="U159" s="62">
        <v>10</v>
      </c>
    </row>
    <row r="160" spans="1:21" s="91" customFormat="1" ht="21.75" customHeight="1" x14ac:dyDescent="0.35">
      <c r="A160" s="92">
        <v>156</v>
      </c>
      <c r="B160" s="93"/>
      <c r="C160" s="94"/>
      <c r="D160" s="95"/>
      <c r="E160" s="93"/>
      <c r="F160" s="96"/>
      <c r="G160" s="96"/>
      <c r="H160" s="96"/>
      <c r="I160" s="97">
        <f>'الإفاقة القلبية'!$H160-'الإفاقة القلبية'!$F160</f>
        <v>0</v>
      </c>
      <c r="J160" s="98"/>
      <c r="K160" s="96"/>
      <c r="L160" s="97">
        <f>'الإفاقة القلبية'!$K160-'الإفاقة القلبية'!$G160</f>
        <v>0</v>
      </c>
      <c r="M160" s="93"/>
      <c r="N160" s="93"/>
      <c r="O160" s="99" t="str">
        <f>IF(Table6[[#This Row],[تاريخ حدوث توقف القلب
mm/dd/yyyy]]="","",TEXT(Table6[[#This Row],[تاريخ حدوث توقف القلب
mm/dd/yyyy]],"mmm-yyyy"))</f>
        <v/>
      </c>
      <c r="U160" s="91">
        <v>10</v>
      </c>
    </row>
    <row r="161" spans="1:21" s="62" customFormat="1" ht="21.75" customHeight="1" x14ac:dyDescent="0.35">
      <c r="A161" s="75">
        <v>157</v>
      </c>
      <c r="B161" s="76"/>
      <c r="C161" s="77"/>
      <c r="D161" s="78"/>
      <c r="E161" s="76"/>
      <c r="F161" s="79"/>
      <c r="G161" s="79"/>
      <c r="H161" s="79"/>
      <c r="I161" s="80">
        <f>'الإفاقة القلبية'!$H161-'الإفاقة القلبية'!$F161</f>
        <v>0</v>
      </c>
      <c r="J161" s="81"/>
      <c r="K161" s="79"/>
      <c r="L161" s="80">
        <f>'الإفاقة القلبية'!$K161-'الإفاقة القلبية'!$G161</f>
        <v>0</v>
      </c>
      <c r="M161" s="76"/>
      <c r="N161" s="76"/>
      <c r="O161" s="74" t="str">
        <f>IF(Table6[[#This Row],[تاريخ حدوث توقف القلب
mm/dd/yyyy]]="","",TEXT(Table6[[#This Row],[تاريخ حدوث توقف القلب
mm/dd/yyyy]],"mmm-yyyy"))</f>
        <v/>
      </c>
      <c r="U161" s="62">
        <v>10</v>
      </c>
    </row>
    <row r="162" spans="1:21" s="91" customFormat="1" ht="21.75" customHeight="1" x14ac:dyDescent="0.35">
      <c r="A162" s="92">
        <v>158</v>
      </c>
      <c r="B162" s="93"/>
      <c r="C162" s="94"/>
      <c r="D162" s="95"/>
      <c r="E162" s="93"/>
      <c r="F162" s="96"/>
      <c r="G162" s="96"/>
      <c r="H162" s="96"/>
      <c r="I162" s="97">
        <f>'الإفاقة القلبية'!$H162-'الإفاقة القلبية'!$F162</f>
        <v>0</v>
      </c>
      <c r="J162" s="98"/>
      <c r="K162" s="96"/>
      <c r="L162" s="97">
        <f>'الإفاقة القلبية'!$K162-'الإفاقة القلبية'!$G162</f>
        <v>0</v>
      </c>
      <c r="M162" s="93"/>
      <c r="N162" s="93"/>
      <c r="O162" s="99" t="str">
        <f>IF(Table6[[#This Row],[تاريخ حدوث توقف القلب
mm/dd/yyyy]]="","",TEXT(Table6[[#This Row],[تاريخ حدوث توقف القلب
mm/dd/yyyy]],"mmm-yyyy"))</f>
        <v/>
      </c>
      <c r="U162" s="91">
        <v>10</v>
      </c>
    </row>
    <row r="163" spans="1:21" s="62" customFormat="1" ht="21.75" customHeight="1" x14ac:dyDescent="0.35">
      <c r="A163" s="75">
        <v>159</v>
      </c>
      <c r="B163" s="76"/>
      <c r="C163" s="77"/>
      <c r="D163" s="78"/>
      <c r="E163" s="76"/>
      <c r="F163" s="79"/>
      <c r="G163" s="79"/>
      <c r="H163" s="79"/>
      <c r="I163" s="80">
        <f>'الإفاقة القلبية'!$H163-'الإفاقة القلبية'!$F163</f>
        <v>0</v>
      </c>
      <c r="J163" s="81"/>
      <c r="K163" s="79"/>
      <c r="L163" s="80">
        <f>'الإفاقة القلبية'!$K163-'الإفاقة القلبية'!$G163</f>
        <v>0</v>
      </c>
      <c r="M163" s="76"/>
      <c r="N163" s="76"/>
      <c r="O163" s="74" t="str">
        <f>IF(Table6[[#This Row],[تاريخ حدوث توقف القلب
mm/dd/yyyy]]="","",TEXT(Table6[[#This Row],[تاريخ حدوث توقف القلب
mm/dd/yyyy]],"mmm-yyyy"))</f>
        <v/>
      </c>
      <c r="U163" s="62">
        <v>10</v>
      </c>
    </row>
    <row r="164" spans="1:21" s="91" customFormat="1" ht="21.75" customHeight="1" x14ac:dyDescent="0.35">
      <c r="A164" s="92">
        <v>160</v>
      </c>
      <c r="B164" s="93"/>
      <c r="C164" s="94"/>
      <c r="D164" s="95"/>
      <c r="E164" s="93"/>
      <c r="F164" s="96"/>
      <c r="G164" s="96"/>
      <c r="H164" s="96"/>
      <c r="I164" s="97">
        <f>'الإفاقة القلبية'!$H164-'الإفاقة القلبية'!$F164</f>
        <v>0</v>
      </c>
      <c r="J164" s="98"/>
      <c r="K164" s="96"/>
      <c r="L164" s="97">
        <f>'الإفاقة القلبية'!$K164-'الإفاقة القلبية'!$G164</f>
        <v>0</v>
      </c>
      <c r="M164" s="93"/>
      <c r="N164" s="93"/>
      <c r="O164" s="99" t="str">
        <f>IF(Table6[[#This Row],[تاريخ حدوث توقف القلب
mm/dd/yyyy]]="","",TEXT(Table6[[#This Row],[تاريخ حدوث توقف القلب
mm/dd/yyyy]],"mmm-yyyy"))</f>
        <v/>
      </c>
      <c r="U164" s="91">
        <v>10</v>
      </c>
    </row>
    <row r="165" spans="1:21" s="62" customFormat="1" ht="21.75" customHeight="1" x14ac:dyDescent="0.35">
      <c r="A165" s="75">
        <v>161</v>
      </c>
      <c r="B165" s="76"/>
      <c r="C165" s="77"/>
      <c r="D165" s="78"/>
      <c r="E165" s="76"/>
      <c r="F165" s="79"/>
      <c r="G165" s="79"/>
      <c r="H165" s="79"/>
      <c r="I165" s="80">
        <f>'الإفاقة القلبية'!$H165-'الإفاقة القلبية'!$F165</f>
        <v>0</v>
      </c>
      <c r="J165" s="81"/>
      <c r="K165" s="79"/>
      <c r="L165" s="80">
        <f>'الإفاقة القلبية'!$K165-'الإفاقة القلبية'!$G165</f>
        <v>0</v>
      </c>
      <c r="M165" s="76"/>
      <c r="N165" s="76"/>
      <c r="O165" s="74" t="str">
        <f>IF(Table6[[#This Row],[تاريخ حدوث توقف القلب
mm/dd/yyyy]]="","",TEXT(Table6[[#This Row],[تاريخ حدوث توقف القلب
mm/dd/yyyy]],"mmm-yyyy"))</f>
        <v/>
      </c>
      <c r="U165" s="62">
        <v>10</v>
      </c>
    </row>
    <row r="166" spans="1:21" s="91" customFormat="1" ht="21.75" customHeight="1" x14ac:dyDescent="0.35">
      <c r="A166" s="92">
        <v>162</v>
      </c>
      <c r="B166" s="93"/>
      <c r="C166" s="94"/>
      <c r="D166" s="95"/>
      <c r="E166" s="93"/>
      <c r="F166" s="96"/>
      <c r="G166" s="96"/>
      <c r="H166" s="96"/>
      <c r="I166" s="97">
        <f>'الإفاقة القلبية'!$H166-'الإفاقة القلبية'!$F166</f>
        <v>0</v>
      </c>
      <c r="J166" s="98"/>
      <c r="K166" s="96"/>
      <c r="L166" s="97">
        <f>'الإفاقة القلبية'!$K166-'الإفاقة القلبية'!$G166</f>
        <v>0</v>
      </c>
      <c r="M166" s="93"/>
      <c r="N166" s="93"/>
      <c r="O166" s="99" t="str">
        <f>IF(Table6[[#This Row],[تاريخ حدوث توقف القلب
mm/dd/yyyy]]="","",TEXT(Table6[[#This Row],[تاريخ حدوث توقف القلب
mm/dd/yyyy]],"mmm-yyyy"))</f>
        <v/>
      </c>
      <c r="U166" s="91">
        <v>10</v>
      </c>
    </row>
    <row r="167" spans="1:21" s="62" customFormat="1" ht="21.75" customHeight="1" x14ac:dyDescent="0.35">
      <c r="A167" s="75">
        <v>163</v>
      </c>
      <c r="B167" s="76"/>
      <c r="C167" s="77"/>
      <c r="D167" s="78"/>
      <c r="E167" s="76"/>
      <c r="F167" s="79"/>
      <c r="G167" s="79"/>
      <c r="H167" s="79"/>
      <c r="I167" s="80">
        <f>'الإفاقة القلبية'!$H167-'الإفاقة القلبية'!$F167</f>
        <v>0</v>
      </c>
      <c r="J167" s="81"/>
      <c r="K167" s="79"/>
      <c r="L167" s="80">
        <f>'الإفاقة القلبية'!$K167-'الإفاقة القلبية'!$G167</f>
        <v>0</v>
      </c>
      <c r="M167" s="76"/>
      <c r="N167" s="76"/>
      <c r="O167" s="74" t="str">
        <f>IF(Table6[[#This Row],[تاريخ حدوث توقف القلب
mm/dd/yyyy]]="","",TEXT(Table6[[#This Row],[تاريخ حدوث توقف القلب
mm/dd/yyyy]],"mmm-yyyy"))</f>
        <v/>
      </c>
      <c r="U167" s="62">
        <v>10</v>
      </c>
    </row>
    <row r="168" spans="1:21" s="91" customFormat="1" ht="21.75" customHeight="1" x14ac:dyDescent="0.35">
      <c r="A168" s="92">
        <v>164</v>
      </c>
      <c r="B168" s="93"/>
      <c r="C168" s="94"/>
      <c r="D168" s="95"/>
      <c r="E168" s="93"/>
      <c r="F168" s="96"/>
      <c r="G168" s="96"/>
      <c r="H168" s="96"/>
      <c r="I168" s="97">
        <f>'الإفاقة القلبية'!$H168-'الإفاقة القلبية'!$F168</f>
        <v>0</v>
      </c>
      <c r="J168" s="98"/>
      <c r="K168" s="96"/>
      <c r="L168" s="97">
        <f>'الإفاقة القلبية'!$K168-'الإفاقة القلبية'!$G168</f>
        <v>0</v>
      </c>
      <c r="M168" s="93"/>
      <c r="N168" s="93"/>
      <c r="O168" s="99" t="str">
        <f>IF(Table6[[#This Row],[تاريخ حدوث توقف القلب
mm/dd/yyyy]]="","",TEXT(Table6[[#This Row],[تاريخ حدوث توقف القلب
mm/dd/yyyy]],"mmm-yyyy"))</f>
        <v/>
      </c>
      <c r="U168" s="91">
        <v>10</v>
      </c>
    </row>
    <row r="169" spans="1:21" s="62" customFormat="1" ht="21.75" customHeight="1" x14ac:dyDescent="0.35">
      <c r="A169" s="75">
        <v>165</v>
      </c>
      <c r="B169" s="76"/>
      <c r="C169" s="77"/>
      <c r="D169" s="78"/>
      <c r="E169" s="76"/>
      <c r="F169" s="79"/>
      <c r="G169" s="79"/>
      <c r="H169" s="79"/>
      <c r="I169" s="80">
        <f>'الإفاقة القلبية'!$H169-'الإفاقة القلبية'!$F169</f>
        <v>0</v>
      </c>
      <c r="J169" s="81"/>
      <c r="K169" s="79"/>
      <c r="L169" s="80">
        <f>'الإفاقة القلبية'!$K169-'الإفاقة القلبية'!$G169</f>
        <v>0</v>
      </c>
      <c r="M169" s="76"/>
      <c r="N169" s="76"/>
      <c r="O169" s="74" t="str">
        <f>IF(Table6[[#This Row],[تاريخ حدوث توقف القلب
mm/dd/yyyy]]="","",TEXT(Table6[[#This Row],[تاريخ حدوث توقف القلب
mm/dd/yyyy]],"mmm-yyyy"))</f>
        <v/>
      </c>
      <c r="U169" s="62">
        <v>10</v>
      </c>
    </row>
    <row r="170" spans="1:21" s="91" customFormat="1" ht="21.75" customHeight="1" x14ac:dyDescent="0.35">
      <c r="A170" s="92">
        <v>166</v>
      </c>
      <c r="B170" s="93"/>
      <c r="C170" s="94"/>
      <c r="D170" s="95"/>
      <c r="E170" s="93"/>
      <c r="F170" s="96"/>
      <c r="G170" s="96"/>
      <c r="H170" s="96"/>
      <c r="I170" s="97">
        <f>'الإفاقة القلبية'!$H170-'الإفاقة القلبية'!$F170</f>
        <v>0</v>
      </c>
      <c r="J170" s="98"/>
      <c r="K170" s="96"/>
      <c r="L170" s="97">
        <f>'الإفاقة القلبية'!$K170-'الإفاقة القلبية'!$G170</f>
        <v>0</v>
      </c>
      <c r="M170" s="93"/>
      <c r="N170" s="93"/>
      <c r="O170" s="99" t="str">
        <f>IF(Table6[[#This Row],[تاريخ حدوث توقف القلب
mm/dd/yyyy]]="","",TEXT(Table6[[#This Row],[تاريخ حدوث توقف القلب
mm/dd/yyyy]],"mmm-yyyy"))</f>
        <v/>
      </c>
      <c r="U170" s="91">
        <v>10</v>
      </c>
    </row>
    <row r="171" spans="1:21" s="62" customFormat="1" ht="21.75" customHeight="1" x14ac:dyDescent="0.35">
      <c r="A171" s="75">
        <v>167</v>
      </c>
      <c r="B171" s="76"/>
      <c r="C171" s="77"/>
      <c r="D171" s="78"/>
      <c r="E171" s="76"/>
      <c r="F171" s="79"/>
      <c r="G171" s="79"/>
      <c r="H171" s="79"/>
      <c r="I171" s="80">
        <f>'الإفاقة القلبية'!$H171-'الإفاقة القلبية'!$F171</f>
        <v>0</v>
      </c>
      <c r="J171" s="81"/>
      <c r="K171" s="79"/>
      <c r="L171" s="80">
        <f>'الإفاقة القلبية'!$K171-'الإفاقة القلبية'!$G171</f>
        <v>0</v>
      </c>
      <c r="M171" s="76"/>
      <c r="N171" s="76"/>
      <c r="O171" s="74" t="str">
        <f>IF(Table6[[#This Row],[تاريخ حدوث توقف القلب
mm/dd/yyyy]]="","",TEXT(Table6[[#This Row],[تاريخ حدوث توقف القلب
mm/dd/yyyy]],"mmm-yyyy"))</f>
        <v/>
      </c>
      <c r="U171" s="62">
        <v>10</v>
      </c>
    </row>
    <row r="172" spans="1:21" s="91" customFormat="1" ht="21.75" customHeight="1" x14ac:dyDescent="0.35">
      <c r="A172" s="92">
        <v>168</v>
      </c>
      <c r="B172" s="93"/>
      <c r="C172" s="94"/>
      <c r="D172" s="95"/>
      <c r="E172" s="93"/>
      <c r="F172" s="96"/>
      <c r="G172" s="96"/>
      <c r="H172" s="96"/>
      <c r="I172" s="97">
        <f>'الإفاقة القلبية'!$H172-'الإفاقة القلبية'!$F172</f>
        <v>0</v>
      </c>
      <c r="J172" s="98"/>
      <c r="K172" s="96"/>
      <c r="L172" s="97">
        <f>'الإفاقة القلبية'!$K172-'الإفاقة القلبية'!$G172</f>
        <v>0</v>
      </c>
      <c r="M172" s="93"/>
      <c r="N172" s="93"/>
      <c r="O172" s="99" t="str">
        <f>IF(Table6[[#This Row],[تاريخ حدوث توقف القلب
mm/dd/yyyy]]="","",TEXT(Table6[[#This Row],[تاريخ حدوث توقف القلب
mm/dd/yyyy]],"mmm-yyyy"))</f>
        <v/>
      </c>
      <c r="U172" s="91">
        <v>10</v>
      </c>
    </row>
    <row r="173" spans="1:21" s="62" customFormat="1" ht="21.75" customHeight="1" x14ac:dyDescent="0.35">
      <c r="A173" s="75">
        <v>169</v>
      </c>
      <c r="B173" s="76"/>
      <c r="C173" s="77"/>
      <c r="D173" s="78"/>
      <c r="E173" s="76"/>
      <c r="F173" s="79"/>
      <c r="G173" s="79"/>
      <c r="H173" s="79"/>
      <c r="I173" s="80">
        <f>'الإفاقة القلبية'!$H173-'الإفاقة القلبية'!$F173</f>
        <v>0</v>
      </c>
      <c r="J173" s="81"/>
      <c r="K173" s="79"/>
      <c r="L173" s="80">
        <f>'الإفاقة القلبية'!$K173-'الإفاقة القلبية'!$G173</f>
        <v>0</v>
      </c>
      <c r="M173" s="76"/>
      <c r="N173" s="76"/>
      <c r="O173" s="74" t="str">
        <f>IF(Table6[[#This Row],[تاريخ حدوث توقف القلب
mm/dd/yyyy]]="","",TEXT(Table6[[#This Row],[تاريخ حدوث توقف القلب
mm/dd/yyyy]],"mmm-yyyy"))</f>
        <v/>
      </c>
      <c r="U173" s="62">
        <v>10</v>
      </c>
    </row>
    <row r="174" spans="1:21" s="91" customFormat="1" ht="21.75" customHeight="1" x14ac:dyDescent="0.35">
      <c r="A174" s="92">
        <v>170</v>
      </c>
      <c r="B174" s="93"/>
      <c r="C174" s="94"/>
      <c r="D174" s="95"/>
      <c r="E174" s="93"/>
      <c r="F174" s="96"/>
      <c r="G174" s="96"/>
      <c r="H174" s="96"/>
      <c r="I174" s="97">
        <f>'الإفاقة القلبية'!$H174-'الإفاقة القلبية'!$F174</f>
        <v>0</v>
      </c>
      <c r="J174" s="98"/>
      <c r="K174" s="96"/>
      <c r="L174" s="97">
        <f>'الإفاقة القلبية'!$K174-'الإفاقة القلبية'!$G174</f>
        <v>0</v>
      </c>
      <c r="M174" s="93"/>
      <c r="N174" s="93"/>
      <c r="O174" s="99" t="str">
        <f>IF(Table6[[#This Row],[تاريخ حدوث توقف القلب
mm/dd/yyyy]]="","",TEXT(Table6[[#This Row],[تاريخ حدوث توقف القلب
mm/dd/yyyy]],"mmm-yyyy"))</f>
        <v/>
      </c>
      <c r="U174" s="91">
        <v>10</v>
      </c>
    </row>
    <row r="175" spans="1:21" s="62" customFormat="1" ht="21.75" customHeight="1" x14ac:dyDescent="0.35">
      <c r="A175" s="75">
        <v>171</v>
      </c>
      <c r="B175" s="76"/>
      <c r="C175" s="77"/>
      <c r="D175" s="78"/>
      <c r="E175" s="76"/>
      <c r="F175" s="79"/>
      <c r="G175" s="79"/>
      <c r="H175" s="79"/>
      <c r="I175" s="80">
        <f>'الإفاقة القلبية'!$H175-'الإفاقة القلبية'!$F175</f>
        <v>0</v>
      </c>
      <c r="J175" s="81"/>
      <c r="K175" s="79"/>
      <c r="L175" s="80">
        <f>'الإفاقة القلبية'!$K175-'الإفاقة القلبية'!$G175</f>
        <v>0</v>
      </c>
      <c r="M175" s="76"/>
      <c r="N175" s="76"/>
      <c r="O175" s="74" t="str">
        <f>IF(Table6[[#This Row],[تاريخ حدوث توقف القلب
mm/dd/yyyy]]="","",TEXT(Table6[[#This Row],[تاريخ حدوث توقف القلب
mm/dd/yyyy]],"mmm-yyyy"))</f>
        <v/>
      </c>
      <c r="U175" s="62">
        <v>10</v>
      </c>
    </row>
    <row r="176" spans="1:21" s="91" customFormat="1" ht="21.75" customHeight="1" x14ac:dyDescent="0.35">
      <c r="A176" s="92">
        <v>172</v>
      </c>
      <c r="B176" s="93"/>
      <c r="C176" s="94"/>
      <c r="D176" s="95"/>
      <c r="E176" s="93"/>
      <c r="F176" s="96"/>
      <c r="G176" s="96"/>
      <c r="H176" s="96"/>
      <c r="I176" s="97">
        <f>'الإفاقة القلبية'!$H176-'الإفاقة القلبية'!$F176</f>
        <v>0</v>
      </c>
      <c r="J176" s="98"/>
      <c r="K176" s="96"/>
      <c r="L176" s="97">
        <f>'الإفاقة القلبية'!$K176-'الإفاقة القلبية'!$G176</f>
        <v>0</v>
      </c>
      <c r="M176" s="93"/>
      <c r="N176" s="93"/>
      <c r="O176" s="99" t="str">
        <f>IF(Table6[[#This Row],[تاريخ حدوث توقف القلب
mm/dd/yyyy]]="","",TEXT(Table6[[#This Row],[تاريخ حدوث توقف القلب
mm/dd/yyyy]],"mmm-yyyy"))</f>
        <v/>
      </c>
      <c r="U176" s="91">
        <v>10</v>
      </c>
    </row>
    <row r="177" spans="1:21" s="62" customFormat="1" ht="21.75" customHeight="1" x14ac:dyDescent="0.35">
      <c r="A177" s="75">
        <v>173</v>
      </c>
      <c r="B177" s="76"/>
      <c r="C177" s="77"/>
      <c r="D177" s="78"/>
      <c r="E177" s="76"/>
      <c r="F177" s="79"/>
      <c r="G177" s="79"/>
      <c r="H177" s="79"/>
      <c r="I177" s="80">
        <f>'الإفاقة القلبية'!$H177-'الإفاقة القلبية'!$F177</f>
        <v>0</v>
      </c>
      <c r="J177" s="81"/>
      <c r="K177" s="79"/>
      <c r="L177" s="80">
        <f>'الإفاقة القلبية'!$K177-'الإفاقة القلبية'!$G177</f>
        <v>0</v>
      </c>
      <c r="M177" s="76"/>
      <c r="N177" s="76"/>
      <c r="O177" s="74" t="str">
        <f>IF(Table6[[#This Row],[تاريخ حدوث توقف القلب
mm/dd/yyyy]]="","",TEXT(Table6[[#This Row],[تاريخ حدوث توقف القلب
mm/dd/yyyy]],"mmm-yyyy"))</f>
        <v/>
      </c>
      <c r="U177" s="62">
        <v>10</v>
      </c>
    </row>
    <row r="178" spans="1:21" s="91" customFormat="1" ht="21.75" customHeight="1" x14ac:dyDescent="0.35">
      <c r="A178" s="92">
        <v>174</v>
      </c>
      <c r="B178" s="93"/>
      <c r="C178" s="94"/>
      <c r="D178" s="95"/>
      <c r="E178" s="93"/>
      <c r="F178" s="96"/>
      <c r="G178" s="96"/>
      <c r="H178" s="96"/>
      <c r="I178" s="97">
        <f>'الإفاقة القلبية'!$H178-'الإفاقة القلبية'!$F178</f>
        <v>0</v>
      </c>
      <c r="J178" s="98"/>
      <c r="K178" s="96"/>
      <c r="L178" s="97">
        <f>'الإفاقة القلبية'!$K178-'الإفاقة القلبية'!$G178</f>
        <v>0</v>
      </c>
      <c r="M178" s="93"/>
      <c r="N178" s="93"/>
      <c r="O178" s="99" t="str">
        <f>IF(Table6[[#This Row],[تاريخ حدوث توقف القلب
mm/dd/yyyy]]="","",TEXT(Table6[[#This Row],[تاريخ حدوث توقف القلب
mm/dd/yyyy]],"mmm-yyyy"))</f>
        <v/>
      </c>
      <c r="U178" s="91">
        <v>10</v>
      </c>
    </row>
    <row r="179" spans="1:21" s="62" customFormat="1" ht="21.75" customHeight="1" x14ac:dyDescent="0.35">
      <c r="A179" s="75">
        <v>175</v>
      </c>
      <c r="B179" s="76"/>
      <c r="C179" s="77"/>
      <c r="D179" s="78"/>
      <c r="E179" s="76"/>
      <c r="F179" s="79"/>
      <c r="G179" s="79"/>
      <c r="H179" s="79"/>
      <c r="I179" s="80">
        <f>'الإفاقة القلبية'!$H179-'الإفاقة القلبية'!$F179</f>
        <v>0</v>
      </c>
      <c r="J179" s="81"/>
      <c r="K179" s="79"/>
      <c r="L179" s="80">
        <f>'الإفاقة القلبية'!$K179-'الإفاقة القلبية'!$G179</f>
        <v>0</v>
      </c>
      <c r="M179" s="76"/>
      <c r="N179" s="76"/>
      <c r="O179" s="74" t="str">
        <f>IF(Table6[[#This Row],[تاريخ حدوث توقف القلب
mm/dd/yyyy]]="","",TEXT(Table6[[#This Row],[تاريخ حدوث توقف القلب
mm/dd/yyyy]],"mmm-yyyy"))</f>
        <v/>
      </c>
      <c r="U179" s="62">
        <v>10</v>
      </c>
    </row>
    <row r="180" spans="1:21" s="91" customFormat="1" ht="21.75" customHeight="1" x14ac:dyDescent="0.35">
      <c r="A180" s="92">
        <v>176</v>
      </c>
      <c r="B180" s="93"/>
      <c r="C180" s="94"/>
      <c r="D180" s="95"/>
      <c r="E180" s="93"/>
      <c r="F180" s="96"/>
      <c r="G180" s="96"/>
      <c r="H180" s="96"/>
      <c r="I180" s="97">
        <f>'الإفاقة القلبية'!$H180-'الإفاقة القلبية'!$F180</f>
        <v>0</v>
      </c>
      <c r="J180" s="98"/>
      <c r="K180" s="96"/>
      <c r="L180" s="97">
        <f>'الإفاقة القلبية'!$K180-'الإفاقة القلبية'!$G180</f>
        <v>0</v>
      </c>
      <c r="M180" s="93"/>
      <c r="N180" s="93"/>
      <c r="O180" s="99" t="str">
        <f>IF(Table6[[#This Row],[تاريخ حدوث توقف القلب
mm/dd/yyyy]]="","",TEXT(Table6[[#This Row],[تاريخ حدوث توقف القلب
mm/dd/yyyy]],"mmm-yyyy"))</f>
        <v/>
      </c>
      <c r="U180" s="91">
        <v>10</v>
      </c>
    </row>
    <row r="181" spans="1:21" s="62" customFormat="1" ht="21.75" customHeight="1" x14ac:dyDescent="0.35">
      <c r="A181" s="75">
        <v>177</v>
      </c>
      <c r="B181" s="76"/>
      <c r="C181" s="77"/>
      <c r="D181" s="78"/>
      <c r="E181" s="76"/>
      <c r="F181" s="79"/>
      <c r="G181" s="79"/>
      <c r="H181" s="79"/>
      <c r="I181" s="80">
        <f>'الإفاقة القلبية'!$H181-'الإفاقة القلبية'!$F181</f>
        <v>0</v>
      </c>
      <c r="J181" s="81"/>
      <c r="K181" s="79"/>
      <c r="L181" s="80">
        <f>'الإفاقة القلبية'!$K181-'الإفاقة القلبية'!$G181</f>
        <v>0</v>
      </c>
      <c r="M181" s="76"/>
      <c r="N181" s="76"/>
      <c r="O181" s="74" t="str">
        <f>IF(Table6[[#This Row],[تاريخ حدوث توقف القلب
mm/dd/yyyy]]="","",TEXT(Table6[[#This Row],[تاريخ حدوث توقف القلب
mm/dd/yyyy]],"mmm-yyyy"))</f>
        <v/>
      </c>
      <c r="U181" s="62">
        <v>10</v>
      </c>
    </row>
    <row r="182" spans="1:21" s="91" customFormat="1" ht="21.75" customHeight="1" x14ac:dyDescent="0.35">
      <c r="A182" s="92">
        <v>178</v>
      </c>
      <c r="B182" s="93"/>
      <c r="C182" s="94"/>
      <c r="D182" s="95"/>
      <c r="E182" s="93"/>
      <c r="F182" s="96"/>
      <c r="G182" s="96"/>
      <c r="H182" s="96"/>
      <c r="I182" s="97">
        <f>'الإفاقة القلبية'!$H182-'الإفاقة القلبية'!$F182</f>
        <v>0</v>
      </c>
      <c r="J182" s="98"/>
      <c r="K182" s="96"/>
      <c r="L182" s="97">
        <f>'الإفاقة القلبية'!$K182-'الإفاقة القلبية'!$G182</f>
        <v>0</v>
      </c>
      <c r="M182" s="93"/>
      <c r="N182" s="93"/>
      <c r="O182" s="99" t="str">
        <f>IF(Table6[[#This Row],[تاريخ حدوث توقف القلب
mm/dd/yyyy]]="","",TEXT(Table6[[#This Row],[تاريخ حدوث توقف القلب
mm/dd/yyyy]],"mmm-yyyy"))</f>
        <v/>
      </c>
      <c r="U182" s="91">
        <v>10</v>
      </c>
    </row>
    <row r="183" spans="1:21" s="62" customFormat="1" ht="21.75" customHeight="1" x14ac:dyDescent="0.35">
      <c r="A183" s="75">
        <v>179</v>
      </c>
      <c r="B183" s="76"/>
      <c r="C183" s="77"/>
      <c r="D183" s="78"/>
      <c r="E183" s="76"/>
      <c r="F183" s="79"/>
      <c r="G183" s="79"/>
      <c r="H183" s="79"/>
      <c r="I183" s="80">
        <f>'الإفاقة القلبية'!$H183-'الإفاقة القلبية'!$F183</f>
        <v>0</v>
      </c>
      <c r="J183" s="81"/>
      <c r="K183" s="79"/>
      <c r="L183" s="80">
        <f>'الإفاقة القلبية'!$K183-'الإفاقة القلبية'!$G183</f>
        <v>0</v>
      </c>
      <c r="M183" s="76"/>
      <c r="N183" s="76"/>
      <c r="O183" s="74" t="str">
        <f>IF(Table6[[#This Row],[تاريخ حدوث توقف القلب
mm/dd/yyyy]]="","",TEXT(Table6[[#This Row],[تاريخ حدوث توقف القلب
mm/dd/yyyy]],"mmm-yyyy"))</f>
        <v/>
      </c>
      <c r="U183" s="62">
        <v>10</v>
      </c>
    </row>
    <row r="184" spans="1:21" s="91" customFormat="1" ht="21.75" customHeight="1" x14ac:dyDescent="0.35">
      <c r="A184" s="92">
        <v>180</v>
      </c>
      <c r="B184" s="93"/>
      <c r="C184" s="94"/>
      <c r="D184" s="95"/>
      <c r="E184" s="93"/>
      <c r="F184" s="96"/>
      <c r="G184" s="96"/>
      <c r="H184" s="96"/>
      <c r="I184" s="97">
        <f>'الإفاقة القلبية'!$H184-'الإفاقة القلبية'!$F184</f>
        <v>0</v>
      </c>
      <c r="J184" s="98"/>
      <c r="K184" s="96"/>
      <c r="L184" s="97">
        <f>'الإفاقة القلبية'!$K184-'الإفاقة القلبية'!$G184</f>
        <v>0</v>
      </c>
      <c r="M184" s="93"/>
      <c r="N184" s="93"/>
      <c r="O184" s="99" t="str">
        <f>IF(Table6[[#This Row],[تاريخ حدوث توقف القلب
mm/dd/yyyy]]="","",TEXT(Table6[[#This Row],[تاريخ حدوث توقف القلب
mm/dd/yyyy]],"mmm-yyyy"))</f>
        <v/>
      </c>
      <c r="U184" s="91">
        <v>10</v>
      </c>
    </row>
    <row r="185" spans="1:21" s="62" customFormat="1" ht="21.75" customHeight="1" x14ac:dyDescent="0.35">
      <c r="A185" s="75">
        <v>181</v>
      </c>
      <c r="B185" s="76"/>
      <c r="C185" s="77"/>
      <c r="D185" s="78"/>
      <c r="E185" s="76"/>
      <c r="F185" s="79"/>
      <c r="G185" s="79"/>
      <c r="H185" s="79"/>
      <c r="I185" s="80">
        <f>'الإفاقة القلبية'!$H185-'الإفاقة القلبية'!$F185</f>
        <v>0</v>
      </c>
      <c r="J185" s="81"/>
      <c r="K185" s="79"/>
      <c r="L185" s="80">
        <f>'الإفاقة القلبية'!$K185-'الإفاقة القلبية'!$G185</f>
        <v>0</v>
      </c>
      <c r="M185" s="76"/>
      <c r="N185" s="76"/>
      <c r="O185" s="74" t="str">
        <f>IF(Table6[[#This Row],[تاريخ حدوث توقف القلب
mm/dd/yyyy]]="","",TEXT(Table6[[#This Row],[تاريخ حدوث توقف القلب
mm/dd/yyyy]],"mmm-yyyy"))</f>
        <v/>
      </c>
      <c r="U185" s="62">
        <v>10</v>
      </c>
    </row>
    <row r="186" spans="1:21" s="91" customFormat="1" ht="21.75" customHeight="1" x14ac:dyDescent="0.35">
      <c r="A186" s="92">
        <v>182</v>
      </c>
      <c r="B186" s="93"/>
      <c r="C186" s="94"/>
      <c r="D186" s="95"/>
      <c r="E186" s="93"/>
      <c r="F186" s="96"/>
      <c r="G186" s="96"/>
      <c r="H186" s="96"/>
      <c r="I186" s="97">
        <f>'الإفاقة القلبية'!$H186-'الإفاقة القلبية'!$F186</f>
        <v>0</v>
      </c>
      <c r="J186" s="98"/>
      <c r="K186" s="96"/>
      <c r="L186" s="97">
        <f>'الإفاقة القلبية'!$K186-'الإفاقة القلبية'!$G186</f>
        <v>0</v>
      </c>
      <c r="M186" s="93"/>
      <c r="N186" s="93"/>
      <c r="O186" s="99" t="str">
        <f>IF(Table6[[#This Row],[تاريخ حدوث توقف القلب
mm/dd/yyyy]]="","",TEXT(Table6[[#This Row],[تاريخ حدوث توقف القلب
mm/dd/yyyy]],"mmm-yyyy"))</f>
        <v/>
      </c>
      <c r="U186" s="91">
        <v>10</v>
      </c>
    </row>
    <row r="187" spans="1:21" s="62" customFormat="1" ht="21.75" customHeight="1" x14ac:dyDescent="0.35">
      <c r="A187" s="75">
        <v>183</v>
      </c>
      <c r="B187" s="76"/>
      <c r="C187" s="77"/>
      <c r="D187" s="78"/>
      <c r="E187" s="76"/>
      <c r="F187" s="79"/>
      <c r="G187" s="79"/>
      <c r="H187" s="79"/>
      <c r="I187" s="80">
        <f>'الإفاقة القلبية'!$H187-'الإفاقة القلبية'!$F187</f>
        <v>0</v>
      </c>
      <c r="J187" s="81"/>
      <c r="K187" s="79"/>
      <c r="L187" s="80">
        <f>'الإفاقة القلبية'!$K187-'الإفاقة القلبية'!$G187</f>
        <v>0</v>
      </c>
      <c r="M187" s="76"/>
      <c r="N187" s="76"/>
      <c r="O187" s="74" t="str">
        <f>IF(Table6[[#This Row],[تاريخ حدوث توقف القلب
mm/dd/yyyy]]="","",TEXT(Table6[[#This Row],[تاريخ حدوث توقف القلب
mm/dd/yyyy]],"mmm-yyyy"))</f>
        <v/>
      </c>
      <c r="U187" s="62">
        <v>10</v>
      </c>
    </row>
    <row r="188" spans="1:21" s="91" customFormat="1" ht="21.75" customHeight="1" x14ac:dyDescent="0.35">
      <c r="A188" s="92">
        <v>184</v>
      </c>
      <c r="B188" s="93"/>
      <c r="C188" s="94"/>
      <c r="D188" s="95"/>
      <c r="E188" s="93"/>
      <c r="F188" s="96"/>
      <c r="G188" s="96"/>
      <c r="H188" s="96"/>
      <c r="I188" s="97">
        <f>'الإفاقة القلبية'!$H188-'الإفاقة القلبية'!$F188</f>
        <v>0</v>
      </c>
      <c r="J188" s="98"/>
      <c r="K188" s="96"/>
      <c r="L188" s="97">
        <f>'الإفاقة القلبية'!$K188-'الإفاقة القلبية'!$G188</f>
        <v>0</v>
      </c>
      <c r="M188" s="93"/>
      <c r="N188" s="93"/>
      <c r="O188" s="99" t="str">
        <f>IF(Table6[[#This Row],[تاريخ حدوث توقف القلب
mm/dd/yyyy]]="","",TEXT(Table6[[#This Row],[تاريخ حدوث توقف القلب
mm/dd/yyyy]],"mmm-yyyy"))</f>
        <v/>
      </c>
      <c r="U188" s="91">
        <v>10</v>
      </c>
    </row>
    <row r="189" spans="1:21" s="62" customFormat="1" ht="21.75" customHeight="1" x14ac:dyDescent="0.35">
      <c r="A189" s="75">
        <v>185</v>
      </c>
      <c r="B189" s="76"/>
      <c r="C189" s="77"/>
      <c r="D189" s="78"/>
      <c r="E189" s="76"/>
      <c r="F189" s="79"/>
      <c r="G189" s="79"/>
      <c r="H189" s="79"/>
      <c r="I189" s="80">
        <f>'الإفاقة القلبية'!$H189-'الإفاقة القلبية'!$F189</f>
        <v>0</v>
      </c>
      <c r="J189" s="81"/>
      <c r="K189" s="79"/>
      <c r="L189" s="80">
        <f>'الإفاقة القلبية'!$K189-'الإفاقة القلبية'!$G189</f>
        <v>0</v>
      </c>
      <c r="M189" s="76"/>
      <c r="N189" s="76"/>
      <c r="O189" s="74" t="str">
        <f>IF(Table6[[#This Row],[تاريخ حدوث توقف القلب
mm/dd/yyyy]]="","",TEXT(Table6[[#This Row],[تاريخ حدوث توقف القلب
mm/dd/yyyy]],"mmm-yyyy"))</f>
        <v/>
      </c>
      <c r="U189" s="62">
        <v>10</v>
      </c>
    </row>
    <row r="190" spans="1:21" s="91" customFormat="1" ht="21.75" customHeight="1" x14ac:dyDescent="0.35">
      <c r="A190" s="92">
        <v>186</v>
      </c>
      <c r="B190" s="93"/>
      <c r="C190" s="94"/>
      <c r="D190" s="95"/>
      <c r="E190" s="93"/>
      <c r="F190" s="96"/>
      <c r="G190" s="96"/>
      <c r="H190" s="96"/>
      <c r="I190" s="97">
        <f>'الإفاقة القلبية'!$H190-'الإفاقة القلبية'!$F190</f>
        <v>0</v>
      </c>
      <c r="J190" s="98"/>
      <c r="K190" s="96"/>
      <c r="L190" s="97">
        <f>'الإفاقة القلبية'!$K190-'الإفاقة القلبية'!$G190</f>
        <v>0</v>
      </c>
      <c r="M190" s="93"/>
      <c r="N190" s="93"/>
      <c r="O190" s="99" t="str">
        <f>IF(Table6[[#This Row],[تاريخ حدوث توقف القلب
mm/dd/yyyy]]="","",TEXT(Table6[[#This Row],[تاريخ حدوث توقف القلب
mm/dd/yyyy]],"mmm-yyyy"))</f>
        <v/>
      </c>
      <c r="U190" s="91">
        <v>10</v>
      </c>
    </row>
    <row r="191" spans="1:21" s="62" customFormat="1" ht="21.75" customHeight="1" x14ac:dyDescent="0.35">
      <c r="A191" s="75">
        <v>187</v>
      </c>
      <c r="B191" s="76"/>
      <c r="C191" s="77"/>
      <c r="D191" s="78"/>
      <c r="E191" s="76"/>
      <c r="F191" s="79"/>
      <c r="G191" s="79"/>
      <c r="H191" s="79"/>
      <c r="I191" s="80">
        <f>'الإفاقة القلبية'!$H191-'الإفاقة القلبية'!$F191</f>
        <v>0</v>
      </c>
      <c r="J191" s="81"/>
      <c r="K191" s="79"/>
      <c r="L191" s="80">
        <f>'الإفاقة القلبية'!$K191-'الإفاقة القلبية'!$G191</f>
        <v>0</v>
      </c>
      <c r="M191" s="76"/>
      <c r="N191" s="76"/>
      <c r="O191" s="74" t="str">
        <f>IF(Table6[[#This Row],[تاريخ حدوث توقف القلب
mm/dd/yyyy]]="","",TEXT(Table6[[#This Row],[تاريخ حدوث توقف القلب
mm/dd/yyyy]],"mmm-yyyy"))</f>
        <v/>
      </c>
      <c r="U191" s="62">
        <v>10</v>
      </c>
    </row>
    <row r="192" spans="1:21" s="91" customFormat="1" ht="21.75" customHeight="1" x14ac:dyDescent="0.35">
      <c r="A192" s="92">
        <v>188</v>
      </c>
      <c r="B192" s="93"/>
      <c r="C192" s="94"/>
      <c r="D192" s="95"/>
      <c r="E192" s="93"/>
      <c r="F192" s="96"/>
      <c r="G192" s="96"/>
      <c r="H192" s="96"/>
      <c r="I192" s="97">
        <f>'الإفاقة القلبية'!$H192-'الإفاقة القلبية'!$F192</f>
        <v>0</v>
      </c>
      <c r="J192" s="98"/>
      <c r="K192" s="96"/>
      <c r="L192" s="97">
        <f>'الإفاقة القلبية'!$K192-'الإفاقة القلبية'!$G192</f>
        <v>0</v>
      </c>
      <c r="M192" s="93"/>
      <c r="N192" s="93"/>
      <c r="O192" s="99" t="str">
        <f>IF(Table6[[#This Row],[تاريخ حدوث توقف القلب
mm/dd/yyyy]]="","",TEXT(Table6[[#This Row],[تاريخ حدوث توقف القلب
mm/dd/yyyy]],"mmm-yyyy"))</f>
        <v/>
      </c>
      <c r="U192" s="91">
        <v>10</v>
      </c>
    </row>
    <row r="193" spans="1:21" s="62" customFormat="1" ht="21.75" customHeight="1" x14ac:dyDescent="0.35">
      <c r="A193" s="75">
        <v>189</v>
      </c>
      <c r="B193" s="76"/>
      <c r="C193" s="77"/>
      <c r="D193" s="78"/>
      <c r="E193" s="76"/>
      <c r="F193" s="79"/>
      <c r="G193" s="79"/>
      <c r="H193" s="79"/>
      <c r="I193" s="80">
        <f>'الإفاقة القلبية'!$H193-'الإفاقة القلبية'!$F193</f>
        <v>0</v>
      </c>
      <c r="J193" s="81"/>
      <c r="K193" s="79"/>
      <c r="L193" s="80">
        <f>'الإفاقة القلبية'!$K193-'الإفاقة القلبية'!$G193</f>
        <v>0</v>
      </c>
      <c r="M193" s="76"/>
      <c r="N193" s="76"/>
      <c r="O193" s="74" t="str">
        <f>IF(Table6[[#This Row],[تاريخ حدوث توقف القلب
mm/dd/yyyy]]="","",TEXT(Table6[[#This Row],[تاريخ حدوث توقف القلب
mm/dd/yyyy]],"mmm-yyyy"))</f>
        <v/>
      </c>
      <c r="U193" s="62">
        <v>10</v>
      </c>
    </row>
    <row r="194" spans="1:21" s="91" customFormat="1" ht="21.75" customHeight="1" x14ac:dyDescent="0.35">
      <c r="A194" s="92">
        <v>190</v>
      </c>
      <c r="B194" s="93"/>
      <c r="C194" s="94"/>
      <c r="D194" s="95"/>
      <c r="E194" s="93"/>
      <c r="F194" s="96"/>
      <c r="G194" s="96"/>
      <c r="H194" s="96"/>
      <c r="I194" s="97">
        <f>'الإفاقة القلبية'!$H194-'الإفاقة القلبية'!$F194</f>
        <v>0</v>
      </c>
      <c r="J194" s="98"/>
      <c r="K194" s="96"/>
      <c r="L194" s="97">
        <f>'الإفاقة القلبية'!$K194-'الإفاقة القلبية'!$G194</f>
        <v>0</v>
      </c>
      <c r="M194" s="93"/>
      <c r="N194" s="93"/>
      <c r="O194" s="99" t="str">
        <f>IF(Table6[[#This Row],[تاريخ حدوث توقف القلب
mm/dd/yyyy]]="","",TEXT(Table6[[#This Row],[تاريخ حدوث توقف القلب
mm/dd/yyyy]],"mmm-yyyy"))</f>
        <v/>
      </c>
      <c r="U194" s="91">
        <v>10</v>
      </c>
    </row>
    <row r="195" spans="1:21" s="62" customFormat="1" ht="21.75" customHeight="1" x14ac:dyDescent="0.35">
      <c r="A195" s="75">
        <v>191</v>
      </c>
      <c r="B195" s="76"/>
      <c r="C195" s="77"/>
      <c r="D195" s="78"/>
      <c r="E195" s="76"/>
      <c r="F195" s="79"/>
      <c r="G195" s="79"/>
      <c r="H195" s="79"/>
      <c r="I195" s="80">
        <f>'الإفاقة القلبية'!$H195-'الإفاقة القلبية'!$F195</f>
        <v>0</v>
      </c>
      <c r="J195" s="81"/>
      <c r="K195" s="79"/>
      <c r="L195" s="80">
        <f>'الإفاقة القلبية'!$K195-'الإفاقة القلبية'!$G195</f>
        <v>0</v>
      </c>
      <c r="M195" s="76"/>
      <c r="N195" s="76"/>
      <c r="O195" s="74" t="str">
        <f>IF(Table6[[#This Row],[تاريخ حدوث توقف القلب
mm/dd/yyyy]]="","",TEXT(Table6[[#This Row],[تاريخ حدوث توقف القلب
mm/dd/yyyy]],"mmm-yyyy"))</f>
        <v/>
      </c>
      <c r="U195" s="62">
        <v>10</v>
      </c>
    </row>
    <row r="196" spans="1:21" s="91" customFormat="1" ht="21.75" customHeight="1" x14ac:dyDescent="0.35">
      <c r="A196" s="92">
        <v>192</v>
      </c>
      <c r="B196" s="93"/>
      <c r="C196" s="94"/>
      <c r="D196" s="95"/>
      <c r="E196" s="93"/>
      <c r="F196" s="96"/>
      <c r="G196" s="96"/>
      <c r="H196" s="96"/>
      <c r="I196" s="97">
        <f>'الإفاقة القلبية'!$H196-'الإفاقة القلبية'!$F196</f>
        <v>0</v>
      </c>
      <c r="J196" s="98"/>
      <c r="K196" s="96"/>
      <c r="L196" s="97">
        <f>'الإفاقة القلبية'!$K196-'الإفاقة القلبية'!$G196</f>
        <v>0</v>
      </c>
      <c r="M196" s="93"/>
      <c r="N196" s="93"/>
      <c r="O196" s="99" t="str">
        <f>IF(Table6[[#This Row],[تاريخ حدوث توقف القلب
mm/dd/yyyy]]="","",TEXT(Table6[[#This Row],[تاريخ حدوث توقف القلب
mm/dd/yyyy]],"mmm-yyyy"))</f>
        <v/>
      </c>
      <c r="U196" s="91">
        <v>10</v>
      </c>
    </row>
    <row r="197" spans="1:21" s="62" customFormat="1" ht="21.75" customHeight="1" x14ac:dyDescent="0.35">
      <c r="A197" s="75">
        <v>193</v>
      </c>
      <c r="B197" s="76"/>
      <c r="C197" s="77"/>
      <c r="D197" s="78"/>
      <c r="E197" s="76"/>
      <c r="F197" s="79"/>
      <c r="G197" s="79"/>
      <c r="H197" s="79"/>
      <c r="I197" s="80">
        <f>'الإفاقة القلبية'!$H197-'الإفاقة القلبية'!$F197</f>
        <v>0</v>
      </c>
      <c r="J197" s="81"/>
      <c r="K197" s="79"/>
      <c r="L197" s="80">
        <f>'الإفاقة القلبية'!$K197-'الإفاقة القلبية'!$G197</f>
        <v>0</v>
      </c>
      <c r="M197" s="76"/>
      <c r="N197" s="76"/>
      <c r="O197" s="74" t="str">
        <f>IF(Table6[[#This Row],[تاريخ حدوث توقف القلب
mm/dd/yyyy]]="","",TEXT(Table6[[#This Row],[تاريخ حدوث توقف القلب
mm/dd/yyyy]],"mmm-yyyy"))</f>
        <v/>
      </c>
      <c r="U197" s="62">
        <v>10</v>
      </c>
    </row>
    <row r="198" spans="1:21" s="91" customFormat="1" ht="21.75" customHeight="1" x14ac:dyDescent="0.35">
      <c r="A198" s="92">
        <v>194</v>
      </c>
      <c r="B198" s="93"/>
      <c r="C198" s="94"/>
      <c r="D198" s="95"/>
      <c r="E198" s="93"/>
      <c r="F198" s="96"/>
      <c r="G198" s="96"/>
      <c r="H198" s="96"/>
      <c r="I198" s="97">
        <f>'الإفاقة القلبية'!$H198-'الإفاقة القلبية'!$F198</f>
        <v>0</v>
      </c>
      <c r="J198" s="98"/>
      <c r="K198" s="96"/>
      <c r="L198" s="97">
        <f>'الإفاقة القلبية'!$K198-'الإفاقة القلبية'!$G198</f>
        <v>0</v>
      </c>
      <c r="M198" s="93"/>
      <c r="N198" s="93"/>
      <c r="O198" s="99" t="str">
        <f>IF(Table6[[#This Row],[تاريخ حدوث توقف القلب
mm/dd/yyyy]]="","",TEXT(Table6[[#This Row],[تاريخ حدوث توقف القلب
mm/dd/yyyy]],"mmm-yyyy"))</f>
        <v/>
      </c>
      <c r="U198" s="91">
        <v>10</v>
      </c>
    </row>
    <row r="199" spans="1:21" s="62" customFormat="1" ht="21.75" customHeight="1" x14ac:dyDescent="0.35">
      <c r="A199" s="75">
        <v>195</v>
      </c>
      <c r="B199" s="76"/>
      <c r="C199" s="77"/>
      <c r="D199" s="78"/>
      <c r="E199" s="76"/>
      <c r="F199" s="79"/>
      <c r="G199" s="79"/>
      <c r="H199" s="79"/>
      <c r="I199" s="80">
        <f>'الإفاقة القلبية'!$H199-'الإفاقة القلبية'!$F199</f>
        <v>0</v>
      </c>
      <c r="J199" s="81"/>
      <c r="K199" s="79"/>
      <c r="L199" s="80">
        <f>'الإفاقة القلبية'!$K199-'الإفاقة القلبية'!$G199</f>
        <v>0</v>
      </c>
      <c r="M199" s="76"/>
      <c r="N199" s="76"/>
      <c r="O199" s="74" t="str">
        <f>IF(Table6[[#This Row],[تاريخ حدوث توقف القلب
mm/dd/yyyy]]="","",TEXT(Table6[[#This Row],[تاريخ حدوث توقف القلب
mm/dd/yyyy]],"mmm-yyyy"))</f>
        <v/>
      </c>
      <c r="U199" s="62">
        <v>10</v>
      </c>
    </row>
    <row r="200" spans="1:21" s="91" customFormat="1" ht="21.75" customHeight="1" x14ac:dyDescent="0.35">
      <c r="A200" s="92">
        <v>196</v>
      </c>
      <c r="B200" s="93"/>
      <c r="C200" s="94"/>
      <c r="D200" s="95"/>
      <c r="E200" s="93"/>
      <c r="F200" s="96"/>
      <c r="G200" s="96"/>
      <c r="H200" s="96"/>
      <c r="I200" s="97">
        <f>'الإفاقة القلبية'!$H200-'الإفاقة القلبية'!$F200</f>
        <v>0</v>
      </c>
      <c r="J200" s="98"/>
      <c r="K200" s="96"/>
      <c r="L200" s="97">
        <f>'الإفاقة القلبية'!$K200-'الإفاقة القلبية'!$G200</f>
        <v>0</v>
      </c>
      <c r="M200" s="93"/>
      <c r="N200" s="93"/>
      <c r="O200" s="99" t="str">
        <f>IF(Table6[[#This Row],[تاريخ حدوث توقف القلب
mm/dd/yyyy]]="","",TEXT(Table6[[#This Row],[تاريخ حدوث توقف القلب
mm/dd/yyyy]],"mmm-yyyy"))</f>
        <v/>
      </c>
      <c r="U200" s="91">
        <v>10</v>
      </c>
    </row>
    <row r="201" spans="1:21" s="62" customFormat="1" ht="21.75" customHeight="1" x14ac:dyDescent="0.35">
      <c r="A201" s="75">
        <v>197</v>
      </c>
      <c r="B201" s="76"/>
      <c r="C201" s="77"/>
      <c r="D201" s="78"/>
      <c r="E201" s="76"/>
      <c r="F201" s="79"/>
      <c r="G201" s="79"/>
      <c r="H201" s="79"/>
      <c r="I201" s="80">
        <f>'الإفاقة القلبية'!$H201-'الإفاقة القلبية'!$F201</f>
        <v>0</v>
      </c>
      <c r="J201" s="81"/>
      <c r="K201" s="79"/>
      <c r="L201" s="80">
        <f>'الإفاقة القلبية'!$K201-'الإفاقة القلبية'!$G201</f>
        <v>0</v>
      </c>
      <c r="M201" s="76"/>
      <c r="N201" s="76"/>
      <c r="O201" s="74" t="str">
        <f>IF(Table6[[#This Row],[تاريخ حدوث توقف القلب
mm/dd/yyyy]]="","",TEXT(Table6[[#This Row],[تاريخ حدوث توقف القلب
mm/dd/yyyy]],"mmm-yyyy"))</f>
        <v/>
      </c>
      <c r="U201" s="62">
        <v>10</v>
      </c>
    </row>
    <row r="202" spans="1:21" s="91" customFormat="1" ht="21.75" customHeight="1" x14ac:dyDescent="0.35">
      <c r="A202" s="92">
        <v>198</v>
      </c>
      <c r="B202" s="93"/>
      <c r="C202" s="94"/>
      <c r="D202" s="95"/>
      <c r="E202" s="93"/>
      <c r="F202" s="96"/>
      <c r="G202" s="96"/>
      <c r="H202" s="96"/>
      <c r="I202" s="97">
        <f>'الإفاقة القلبية'!$H202-'الإفاقة القلبية'!$F202</f>
        <v>0</v>
      </c>
      <c r="J202" s="98"/>
      <c r="K202" s="96"/>
      <c r="L202" s="97">
        <f>'الإفاقة القلبية'!$K202-'الإفاقة القلبية'!$G202</f>
        <v>0</v>
      </c>
      <c r="M202" s="93"/>
      <c r="N202" s="93"/>
      <c r="O202" s="99" t="str">
        <f>IF(Table6[[#This Row],[تاريخ حدوث توقف القلب
mm/dd/yyyy]]="","",TEXT(Table6[[#This Row],[تاريخ حدوث توقف القلب
mm/dd/yyyy]],"mmm-yyyy"))</f>
        <v/>
      </c>
      <c r="U202" s="91">
        <v>10</v>
      </c>
    </row>
    <row r="203" spans="1:21" s="62" customFormat="1" ht="21.75" customHeight="1" x14ac:dyDescent="0.35">
      <c r="A203" s="75">
        <v>199</v>
      </c>
      <c r="B203" s="76"/>
      <c r="C203" s="77"/>
      <c r="D203" s="78"/>
      <c r="E203" s="76"/>
      <c r="F203" s="79"/>
      <c r="G203" s="79"/>
      <c r="H203" s="79"/>
      <c r="I203" s="80">
        <f>'الإفاقة القلبية'!$H203-'الإفاقة القلبية'!$F203</f>
        <v>0</v>
      </c>
      <c r="J203" s="81"/>
      <c r="K203" s="79"/>
      <c r="L203" s="80">
        <f>'الإفاقة القلبية'!$K203-'الإفاقة القلبية'!$G203</f>
        <v>0</v>
      </c>
      <c r="M203" s="76"/>
      <c r="N203" s="76"/>
      <c r="O203" s="74" t="str">
        <f>IF(Table6[[#This Row],[تاريخ حدوث توقف القلب
mm/dd/yyyy]]="","",TEXT(Table6[[#This Row],[تاريخ حدوث توقف القلب
mm/dd/yyyy]],"mmm-yyyy"))</f>
        <v/>
      </c>
      <c r="U203" s="62">
        <v>10</v>
      </c>
    </row>
    <row r="204" spans="1:21" s="91" customFormat="1" ht="21.75" customHeight="1" x14ac:dyDescent="0.35">
      <c r="A204" s="100">
        <v>200</v>
      </c>
      <c r="B204" s="101"/>
      <c r="C204" s="102"/>
      <c r="D204" s="103"/>
      <c r="E204" s="101"/>
      <c r="F204" s="104"/>
      <c r="G204" s="104"/>
      <c r="H204" s="104"/>
      <c r="I204" s="105">
        <f>'الإفاقة القلبية'!$H204-'الإفاقة القلبية'!$F204</f>
        <v>0</v>
      </c>
      <c r="J204" s="106"/>
      <c r="K204" s="104"/>
      <c r="L204" s="105">
        <f>'الإفاقة القلبية'!$K204-'الإفاقة القلبية'!$G204</f>
        <v>0</v>
      </c>
      <c r="M204" s="101"/>
      <c r="N204" s="101"/>
      <c r="O204" s="107" t="str">
        <f>IF(Table6[[#This Row],[تاريخ حدوث توقف القلب
mm/dd/yyyy]]="","",TEXT(Table6[[#This Row],[تاريخ حدوث توقف القلب
mm/dd/yyyy]],"mmm-yyyy"))</f>
        <v/>
      </c>
    </row>
  </sheetData>
  <sheetProtection algorithmName="SHA-512" hashValue="14j/ZkcBrJOeu+XD1SKZQV9TaY9Qm8ikbnH0yrVixaQEWYnQ6/ubCPePTxQG6KxVntNJiIvUVnSWIrRY9PduIA==" saltValue="LRrkGGtIb/EzZEakhQrA3Q==" spinCount="100000" sheet="1" objects="1" scenarios="1"/>
  <mergeCells count="2">
    <mergeCell ref="A1:P1"/>
    <mergeCell ref="A2:P2"/>
  </mergeCells>
  <dataValidations count="9">
    <dataValidation type="list" allowBlank="1" showInputMessage="1" showErrorMessage="1" sqref="E3:E1048576">
      <formula1>$Q$4:$Q$11</formula1>
    </dataValidation>
    <dataValidation type="list" allowBlank="1" showInputMessage="1" showErrorMessage="1" sqref="M3:M1048576">
      <formula1>$T$4:$T$5</formula1>
    </dataValidation>
    <dataValidation type="list" allowBlank="1" showInputMessage="1" showErrorMessage="1" sqref="N3:N1048576">
      <formula1>$R$4:$R$5</formula1>
    </dataValidation>
    <dataValidation allowBlank="1" showInputMessage="1" showErrorMessage="1" errorTitle="خطأ" error="لا يمكن الادخال هنا الا اذا كانت الحالة عند الخروج وفاة_x000a_لو كانت الحالة وفاة قم بادخال كلمة قبل أو كلمة بعد فقط" sqref="O3:O1048576"/>
    <dataValidation type="textLength" operator="greaterThanOrEqual" allowBlank="1" showInputMessage="1" showErrorMessage="1" errorTitle="خطأ في الادخال" error="الرجاء إدخال اسم المريض كاملا" sqref="B206:B1048573 B4">
      <formula1>T5</formula1>
    </dataValidation>
    <dataValidation type="textLength" operator="greaterThanOrEqual" allowBlank="1" showInputMessage="1" showErrorMessage="1" errorTitle="خطأ في الادخال" error="الرجاء إدخال اسم المريض كاملا" sqref="B1048574:B1048576">
      <formula1>T1</formula1>
    </dataValidation>
    <dataValidation type="textLength" operator="greaterThanOrEqual" allowBlank="1" showInputMessage="1" showErrorMessage="1" errorTitle="خطأ في الادخال" error="الرجاء إدخال اسم المريض كاملا" sqref="B205">
      <formula1>#REF!</formula1>
    </dataValidation>
    <dataValidation type="textLength" operator="greaterThanOrEqual" allowBlank="1" showInputMessage="1" showErrorMessage="1" errorTitle="خطأ في الادخال" error="الرجاء إدخال اسم المريض كاملا" sqref="B5:B204">
      <formula1>U6</formula1>
    </dataValidation>
    <dataValidation type="custom" allowBlank="1" showInputMessage="1" showErrorMessage="1" errorTitle="error" error="invalid date_x000a_insert m/d/yyyy" sqref="D5:D204">
      <formula1>ISNUMBER(D5)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43"/>
  <sheetViews>
    <sheetView rightToLeft="1" topLeftCell="C1" zoomScaleNormal="100" workbookViewId="0">
      <selection activeCell="L9" sqref="L9"/>
    </sheetView>
  </sheetViews>
  <sheetFormatPr defaultRowHeight="14.5" x14ac:dyDescent="0.35"/>
  <cols>
    <col min="1" max="1" width="4.81640625" style="4" customWidth="1"/>
    <col min="2" max="2" width="11.26953125" style="47" customWidth="1"/>
    <col min="3" max="3" width="25.1796875" style="56" customWidth="1"/>
    <col min="4" max="4" width="19" style="48" customWidth="1"/>
    <col min="5" max="5" width="14.26953125" style="47" customWidth="1"/>
    <col min="6" max="6" width="11" style="22" customWidth="1"/>
    <col min="7" max="7" width="11.6328125" style="22" customWidth="1"/>
    <col min="8" max="8" width="13.90625" style="30" customWidth="1"/>
    <col min="9" max="10" width="8.7265625" style="4"/>
    <col min="11" max="11" width="27.90625" style="4" customWidth="1"/>
    <col min="12" max="12" width="16.7265625" style="4" customWidth="1"/>
    <col min="13" max="13" width="8.7265625" style="4" customWidth="1"/>
    <col min="14" max="15" width="8.7265625" style="4" hidden="1" customWidth="1"/>
    <col min="16" max="16384" width="8.7265625" style="4"/>
  </cols>
  <sheetData>
    <row r="1" spans="1:15" customFormat="1" ht="34.5" customHeight="1" x14ac:dyDescent="0.35">
      <c r="A1" s="203" t="s">
        <v>210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</row>
    <row r="3" spans="1:15" ht="29" customHeight="1" x14ac:dyDescent="0.35">
      <c r="A3" s="117" t="s">
        <v>0</v>
      </c>
      <c r="B3" s="117" t="s">
        <v>194</v>
      </c>
      <c r="C3" s="117" t="s">
        <v>75</v>
      </c>
      <c r="D3" s="117" t="s">
        <v>195</v>
      </c>
      <c r="E3" s="117" t="s">
        <v>216</v>
      </c>
      <c r="F3" s="117" t="s">
        <v>196</v>
      </c>
      <c r="G3" s="117" t="s">
        <v>197</v>
      </c>
      <c r="H3" s="117" t="s">
        <v>198</v>
      </c>
      <c r="J3" s="117" t="s">
        <v>36</v>
      </c>
      <c r="K3" s="117" t="s">
        <v>201</v>
      </c>
      <c r="L3" s="117" t="s">
        <v>200</v>
      </c>
      <c r="N3" s="55" t="s">
        <v>199</v>
      </c>
    </row>
    <row r="4" spans="1:15" s="45" customFormat="1" ht="25" customHeight="1" x14ac:dyDescent="0.35">
      <c r="A4" s="109">
        <v>1</v>
      </c>
      <c r="B4" s="110">
        <v>46174</v>
      </c>
      <c r="C4" s="111" t="s">
        <v>231</v>
      </c>
      <c r="D4" s="112">
        <v>12345</v>
      </c>
      <c r="E4" s="110">
        <v>46174</v>
      </c>
      <c r="F4" s="113">
        <v>0.52361111111111114</v>
      </c>
      <c r="G4" s="113">
        <v>0.53194444444444444</v>
      </c>
      <c r="H4" s="114">
        <f>G4-F4</f>
        <v>8.3333333333333037E-3</v>
      </c>
      <c r="J4" s="108">
        <v>46023</v>
      </c>
      <c r="K4" s="115"/>
      <c r="L4" s="116"/>
      <c r="N4" s="45" t="str">
        <f>IF(E4="","",TEXT(E4,"mmm-yyyy"))</f>
        <v>Jun-2026</v>
      </c>
      <c r="O4" s="45">
        <v>10</v>
      </c>
    </row>
    <row r="5" spans="1:15" s="45" customFormat="1" ht="25" customHeight="1" x14ac:dyDescent="0.35">
      <c r="A5" s="109">
        <v>2</v>
      </c>
      <c r="B5" s="110">
        <v>46175</v>
      </c>
      <c r="C5" s="111" t="s">
        <v>231</v>
      </c>
      <c r="D5" s="112">
        <v>12346</v>
      </c>
      <c r="E5" s="110">
        <v>46175</v>
      </c>
      <c r="F5" s="113">
        <v>0.52361111111111114</v>
      </c>
      <c r="G5" s="113">
        <v>0.53194444444444444</v>
      </c>
      <c r="H5" s="114">
        <f>G5-F5</f>
        <v>8.3333333333333037E-3</v>
      </c>
      <c r="J5" s="108">
        <v>46054</v>
      </c>
      <c r="K5" s="116"/>
      <c r="L5" s="116"/>
      <c r="N5" s="45" t="str">
        <f t="shared" ref="N5:N68" si="0">IF(E5="","",TEXT(E5,"mmm-yyyy"))</f>
        <v>Jun-2026</v>
      </c>
      <c r="O5" s="45">
        <v>10</v>
      </c>
    </row>
    <row r="6" spans="1:15" s="45" customFormat="1" ht="25" customHeight="1" x14ac:dyDescent="0.35">
      <c r="A6" s="109">
        <v>3</v>
      </c>
      <c r="B6" s="110">
        <v>46176</v>
      </c>
      <c r="C6" s="111" t="s">
        <v>231</v>
      </c>
      <c r="D6" s="112">
        <v>12347</v>
      </c>
      <c r="E6" s="110">
        <v>46176</v>
      </c>
      <c r="F6" s="113">
        <v>0.52361111111111114</v>
      </c>
      <c r="G6" s="113">
        <v>0.53194444444444444</v>
      </c>
      <c r="H6" s="114">
        <f>G6-F6</f>
        <v>8.3333333333333037E-3</v>
      </c>
      <c r="J6" s="108">
        <v>46082</v>
      </c>
      <c r="K6" s="116"/>
      <c r="L6" s="116"/>
      <c r="N6" s="45" t="str">
        <f t="shared" si="0"/>
        <v>Jun-2026</v>
      </c>
      <c r="O6" s="45">
        <v>10</v>
      </c>
    </row>
    <row r="7" spans="1:15" s="45" customFormat="1" ht="25" customHeight="1" x14ac:dyDescent="0.35">
      <c r="A7" s="109">
        <v>4</v>
      </c>
      <c r="B7" s="110"/>
      <c r="C7" s="111"/>
      <c r="D7" s="112"/>
      <c r="E7" s="110"/>
      <c r="F7" s="113"/>
      <c r="G7" s="113"/>
      <c r="H7" s="114">
        <f>G7-F7</f>
        <v>0</v>
      </c>
      <c r="J7" s="108">
        <v>46113</v>
      </c>
      <c r="K7" s="116"/>
      <c r="L7" s="116"/>
      <c r="N7" s="45" t="str">
        <f t="shared" si="0"/>
        <v/>
      </c>
      <c r="O7" s="45">
        <v>10</v>
      </c>
    </row>
    <row r="8" spans="1:15" s="45" customFormat="1" ht="25" customHeight="1" x14ac:dyDescent="0.35">
      <c r="A8" s="109">
        <v>5</v>
      </c>
      <c r="B8" s="110"/>
      <c r="C8" s="111"/>
      <c r="D8" s="112"/>
      <c r="E8" s="110"/>
      <c r="F8" s="113"/>
      <c r="G8" s="113"/>
      <c r="H8" s="114">
        <f t="shared" ref="H8:H71" si="1">G8-F8</f>
        <v>0</v>
      </c>
      <c r="J8" s="108">
        <v>46143</v>
      </c>
      <c r="K8" s="116"/>
      <c r="L8" s="116"/>
      <c r="N8" s="45" t="str">
        <f t="shared" si="0"/>
        <v/>
      </c>
      <c r="O8" s="45">
        <v>10</v>
      </c>
    </row>
    <row r="9" spans="1:15" s="45" customFormat="1" ht="25" customHeight="1" x14ac:dyDescent="0.35">
      <c r="A9" s="109">
        <v>6</v>
      </c>
      <c r="B9" s="110"/>
      <c r="C9" s="111"/>
      <c r="D9" s="112"/>
      <c r="E9" s="110"/>
      <c r="F9" s="113"/>
      <c r="G9" s="113"/>
      <c r="H9" s="114">
        <f t="shared" si="1"/>
        <v>0</v>
      </c>
      <c r="J9" s="108">
        <v>46174</v>
      </c>
      <c r="K9" s="116">
        <v>5</v>
      </c>
      <c r="L9" s="116">
        <v>200</v>
      </c>
      <c r="N9" s="45" t="str">
        <f t="shared" si="0"/>
        <v/>
      </c>
      <c r="O9" s="45">
        <v>10</v>
      </c>
    </row>
    <row r="10" spans="1:15" s="45" customFormat="1" ht="25" customHeight="1" x14ac:dyDescent="0.35">
      <c r="A10" s="109">
        <v>7</v>
      </c>
      <c r="B10" s="110"/>
      <c r="C10" s="111"/>
      <c r="D10" s="112"/>
      <c r="E10" s="110"/>
      <c r="F10" s="113"/>
      <c r="G10" s="113"/>
      <c r="H10" s="114">
        <f t="shared" si="1"/>
        <v>0</v>
      </c>
      <c r="J10" s="108">
        <v>46204</v>
      </c>
      <c r="K10" s="116"/>
      <c r="L10" s="116"/>
      <c r="N10" s="45" t="str">
        <f t="shared" si="0"/>
        <v/>
      </c>
      <c r="O10" s="45">
        <v>10</v>
      </c>
    </row>
    <row r="11" spans="1:15" s="45" customFormat="1" ht="25" customHeight="1" x14ac:dyDescent="0.35">
      <c r="A11" s="109">
        <v>8</v>
      </c>
      <c r="B11" s="110"/>
      <c r="C11" s="111"/>
      <c r="D11" s="112"/>
      <c r="E11" s="110"/>
      <c r="F11" s="113"/>
      <c r="G11" s="113"/>
      <c r="H11" s="114">
        <f t="shared" si="1"/>
        <v>0</v>
      </c>
      <c r="J11" s="108">
        <v>46235</v>
      </c>
      <c r="K11" s="116"/>
      <c r="L11" s="116"/>
      <c r="N11" s="45" t="str">
        <f t="shared" si="0"/>
        <v/>
      </c>
      <c r="O11" s="45">
        <v>10</v>
      </c>
    </row>
    <row r="12" spans="1:15" s="45" customFormat="1" ht="25" customHeight="1" x14ac:dyDescent="0.35">
      <c r="A12" s="109">
        <v>9</v>
      </c>
      <c r="B12" s="110"/>
      <c r="C12" s="111"/>
      <c r="D12" s="112"/>
      <c r="E12" s="110"/>
      <c r="F12" s="113"/>
      <c r="G12" s="113"/>
      <c r="H12" s="114">
        <f t="shared" si="1"/>
        <v>0</v>
      </c>
      <c r="J12" s="108">
        <v>46266</v>
      </c>
      <c r="K12" s="116"/>
      <c r="L12" s="116"/>
      <c r="N12" s="45" t="str">
        <f t="shared" si="0"/>
        <v/>
      </c>
      <c r="O12" s="45">
        <v>10</v>
      </c>
    </row>
    <row r="13" spans="1:15" s="45" customFormat="1" ht="25" customHeight="1" x14ac:dyDescent="0.35">
      <c r="A13" s="109">
        <v>10</v>
      </c>
      <c r="B13" s="110"/>
      <c r="C13" s="111"/>
      <c r="D13" s="112"/>
      <c r="E13" s="110"/>
      <c r="F13" s="113"/>
      <c r="G13" s="113"/>
      <c r="H13" s="114">
        <f t="shared" si="1"/>
        <v>0</v>
      </c>
      <c r="J13" s="108">
        <v>46296</v>
      </c>
      <c r="K13" s="116"/>
      <c r="L13" s="116"/>
      <c r="N13" s="45" t="str">
        <f t="shared" si="0"/>
        <v/>
      </c>
      <c r="O13" s="45">
        <v>10</v>
      </c>
    </row>
    <row r="14" spans="1:15" s="45" customFormat="1" ht="25" customHeight="1" x14ac:dyDescent="0.35">
      <c r="A14" s="109">
        <v>11</v>
      </c>
      <c r="B14" s="110"/>
      <c r="C14" s="111"/>
      <c r="D14" s="112"/>
      <c r="E14" s="110"/>
      <c r="F14" s="113"/>
      <c r="G14" s="113"/>
      <c r="H14" s="114">
        <f t="shared" si="1"/>
        <v>0</v>
      </c>
      <c r="J14" s="108">
        <v>46327</v>
      </c>
      <c r="K14" s="116"/>
      <c r="L14" s="116"/>
      <c r="N14" s="45" t="str">
        <f t="shared" si="0"/>
        <v/>
      </c>
      <c r="O14" s="45">
        <v>10</v>
      </c>
    </row>
    <row r="15" spans="1:15" s="45" customFormat="1" ht="25" customHeight="1" x14ac:dyDescent="0.35">
      <c r="A15" s="109">
        <v>12</v>
      </c>
      <c r="B15" s="110"/>
      <c r="C15" s="111"/>
      <c r="D15" s="112"/>
      <c r="E15" s="110"/>
      <c r="F15" s="113"/>
      <c r="G15" s="113"/>
      <c r="H15" s="114">
        <f t="shared" si="1"/>
        <v>0</v>
      </c>
      <c r="J15" s="123">
        <v>46357</v>
      </c>
      <c r="K15" s="124"/>
      <c r="L15" s="124"/>
      <c r="N15" s="45" t="str">
        <f t="shared" si="0"/>
        <v/>
      </c>
      <c r="O15" s="45">
        <v>10</v>
      </c>
    </row>
    <row r="16" spans="1:15" s="45" customFormat="1" ht="25" customHeight="1" x14ac:dyDescent="0.35">
      <c r="A16" s="109">
        <v>13</v>
      </c>
      <c r="B16" s="110"/>
      <c r="C16" s="111"/>
      <c r="D16" s="112"/>
      <c r="E16" s="110"/>
      <c r="F16" s="113"/>
      <c r="G16" s="113"/>
      <c r="H16" s="114">
        <f t="shared" si="1"/>
        <v>0</v>
      </c>
      <c r="J16" s="61"/>
      <c r="N16" s="45" t="str">
        <f t="shared" si="0"/>
        <v/>
      </c>
      <c r="O16" s="45">
        <v>10</v>
      </c>
    </row>
    <row r="17" spans="1:15" s="45" customFormat="1" ht="25" customHeight="1" x14ac:dyDescent="0.35">
      <c r="A17" s="109">
        <v>14</v>
      </c>
      <c r="B17" s="110"/>
      <c r="C17" s="111"/>
      <c r="D17" s="112"/>
      <c r="E17" s="110"/>
      <c r="F17" s="113"/>
      <c r="G17" s="113"/>
      <c r="H17" s="114">
        <f t="shared" si="1"/>
        <v>0</v>
      </c>
      <c r="J17" s="61"/>
      <c r="N17" s="45" t="str">
        <f t="shared" si="0"/>
        <v/>
      </c>
      <c r="O17" s="45">
        <v>10</v>
      </c>
    </row>
    <row r="18" spans="1:15" s="45" customFormat="1" ht="25" customHeight="1" x14ac:dyDescent="0.35">
      <c r="A18" s="109">
        <v>15</v>
      </c>
      <c r="B18" s="110"/>
      <c r="C18" s="111"/>
      <c r="D18" s="112"/>
      <c r="E18" s="110"/>
      <c r="F18" s="113"/>
      <c r="G18" s="113"/>
      <c r="H18" s="114">
        <f t="shared" si="1"/>
        <v>0</v>
      </c>
      <c r="J18" s="61"/>
      <c r="N18" s="45" t="str">
        <f t="shared" si="0"/>
        <v/>
      </c>
      <c r="O18" s="45">
        <v>10</v>
      </c>
    </row>
    <row r="19" spans="1:15" s="45" customFormat="1" ht="25" customHeight="1" x14ac:dyDescent="0.35">
      <c r="A19" s="109">
        <v>16</v>
      </c>
      <c r="B19" s="110"/>
      <c r="C19" s="111"/>
      <c r="D19" s="112"/>
      <c r="E19" s="110"/>
      <c r="F19" s="113"/>
      <c r="G19" s="113"/>
      <c r="H19" s="114">
        <f t="shared" si="1"/>
        <v>0</v>
      </c>
      <c r="J19" s="61"/>
      <c r="N19" s="45" t="str">
        <f t="shared" si="0"/>
        <v/>
      </c>
      <c r="O19" s="45">
        <v>10</v>
      </c>
    </row>
    <row r="20" spans="1:15" s="45" customFormat="1" ht="25" customHeight="1" x14ac:dyDescent="0.35">
      <c r="A20" s="109">
        <v>17</v>
      </c>
      <c r="B20" s="110"/>
      <c r="C20" s="111"/>
      <c r="D20" s="112"/>
      <c r="E20" s="110"/>
      <c r="F20" s="113"/>
      <c r="G20" s="113"/>
      <c r="H20" s="114">
        <f t="shared" si="1"/>
        <v>0</v>
      </c>
      <c r="J20" s="61"/>
      <c r="N20" s="45" t="str">
        <f t="shared" si="0"/>
        <v/>
      </c>
      <c r="O20" s="45">
        <v>10</v>
      </c>
    </row>
    <row r="21" spans="1:15" s="45" customFormat="1" ht="25" customHeight="1" x14ac:dyDescent="0.35">
      <c r="A21" s="109">
        <v>18</v>
      </c>
      <c r="B21" s="110"/>
      <c r="C21" s="111"/>
      <c r="D21" s="112"/>
      <c r="E21" s="110"/>
      <c r="F21" s="113"/>
      <c r="G21" s="113"/>
      <c r="H21" s="114">
        <f t="shared" si="1"/>
        <v>0</v>
      </c>
      <c r="N21" s="45" t="str">
        <f t="shared" si="0"/>
        <v/>
      </c>
      <c r="O21" s="45">
        <v>10</v>
      </c>
    </row>
    <row r="22" spans="1:15" s="45" customFormat="1" ht="25" customHeight="1" x14ac:dyDescent="0.35">
      <c r="A22" s="109">
        <v>19</v>
      </c>
      <c r="B22" s="110"/>
      <c r="C22" s="111"/>
      <c r="D22" s="112"/>
      <c r="E22" s="110"/>
      <c r="F22" s="113"/>
      <c r="G22" s="113"/>
      <c r="H22" s="114">
        <f t="shared" si="1"/>
        <v>0</v>
      </c>
      <c r="N22" s="45" t="str">
        <f t="shared" si="0"/>
        <v/>
      </c>
      <c r="O22" s="45">
        <v>10</v>
      </c>
    </row>
    <row r="23" spans="1:15" s="45" customFormat="1" ht="25" customHeight="1" x14ac:dyDescent="0.35">
      <c r="A23" s="109">
        <v>20</v>
      </c>
      <c r="B23" s="110"/>
      <c r="C23" s="111"/>
      <c r="D23" s="112"/>
      <c r="E23" s="110"/>
      <c r="F23" s="113"/>
      <c r="G23" s="113"/>
      <c r="H23" s="114">
        <f t="shared" si="1"/>
        <v>0</v>
      </c>
      <c r="N23" s="45" t="str">
        <f t="shared" si="0"/>
        <v/>
      </c>
      <c r="O23" s="45">
        <v>10</v>
      </c>
    </row>
    <row r="24" spans="1:15" s="45" customFormat="1" ht="25" customHeight="1" x14ac:dyDescent="0.35">
      <c r="A24" s="109">
        <v>21</v>
      </c>
      <c r="B24" s="110"/>
      <c r="C24" s="111"/>
      <c r="D24" s="112"/>
      <c r="E24" s="110"/>
      <c r="F24" s="113"/>
      <c r="G24" s="113"/>
      <c r="H24" s="114">
        <f t="shared" si="1"/>
        <v>0</v>
      </c>
      <c r="N24" s="45" t="str">
        <f t="shared" si="0"/>
        <v/>
      </c>
      <c r="O24" s="45">
        <v>10</v>
      </c>
    </row>
    <row r="25" spans="1:15" s="45" customFormat="1" ht="25" customHeight="1" x14ac:dyDescent="0.35">
      <c r="A25" s="109">
        <v>22</v>
      </c>
      <c r="B25" s="110"/>
      <c r="C25" s="111"/>
      <c r="D25" s="112"/>
      <c r="E25" s="110"/>
      <c r="F25" s="113"/>
      <c r="G25" s="113"/>
      <c r="H25" s="114">
        <f t="shared" si="1"/>
        <v>0</v>
      </c>
      <c r="N25" s="45" t="str">
        <f t="shared" si="0"/>
        <v/>
      </c>
      <c r="O25" s="45">
        <v>10</v>
      </c>
    </row>
    <row r="26" spans="1:15" s="45" customFormat="1" ht="25" customHeight="1" x14ac:dyDescent="0.35">
      <c r="A26" s="109">
        <v>23</v>
      </c>
      <c r="B26" s="110"/>
      <c r="C26" s="111"/>
      <c r="D26" s="112"/>
      <c r="E26" s="110"/>
      <c r="F26" s="113"/>
      <c r="G26" s="113"/>
      <c r="H26" s="114">
        <f t="shared" si="1"/>
        <v>0</v>
      </c>
      <c r="N26" s="45" t="str">
        <f t="shared" si="0"/>
        <v/>
      </c>
      <c r="O26" s="45">
        <v>10</v>
      </c>
    </row>
    <row r="27" spans="1:15" s="45" customFormat="1" ht="25" customHeight="1" x14ac:dyDescent="0.35">
      <c r="A27" s="109">
        <v>24</v>
      </c>
      <c r="B27" s="110"/>
      <c r="C27" s="111"/>
      <c r="D27" s="112"/>
      <c r="E27" s="110"/>
      <c r="F27" s="113"/>
      <c r="G27" s="113"/>
      <c r="H27" s="114">
        <f t="shared" si="1"/>
        <v>0</v>
      </c>
      <c r="N27" s="45" t="str">
        <f t="shared" si="0"/>
        <v/>
      </c>
      <c r="O27" s="45">
        <v>10</v>
      </c>
    </row>
    <row r="28" spans="1:15" s="45" customFormat="1" ht="25" customHeight="1" x14ac:dyDescent="0.35">
      <c r="A28" s="109">
        <v>25</v>
      </c>
      <c r="B28" s="110"/>
      <c r="C28" s="111"/>
      <c r="D28" s="112"/>
      <c r="E28" s="110"/>
      <c r="F28" s="113"/>
      <c r="G28" s="113"/>
      <c r="H28" s="114">
        <f t="shared" si="1"/>
        <v>0</v>
      </c>
      <c r="N28" s="45" t="str">
        <f t="shared" si="0"/>
        <v/>
      </c>
      <c r="O28" s="45">
        <v>10</v>
      </c>
    </row>
    <row r="29" spans="1:15" s="45" customFormat="1" ht="25" customHeight="1" x14ac:dyDescent="0.35">
      <c r="A29" s="109">
        <v>26</v>
      </c>
      <c r="B29" s="110"/>
      <c r="C29" s="111"/>
      <c r="D29" s="112"/>
      <c r="E29" s="110"/>
      <c r="F29" s="113"/>
      <c r="G29" s="113"/>
      <c r="H29" s="114">
        <f t="shared" si="1"/>
        <v>0</v>
      </c>
      <c r="N29" s="45" t="str">
        <f t="shared" si="0"/>
        <v/>
      </c>
      <c r="O29" s="45">
        <v>10</v>
      </c>
    </row>
    <row r="30" spans="1:15" s="45" customFormat="1" ht="25" customHeight="1" x14ac:dyDescent="0.35">
      <c r="A30" s="109">
        <v>27</v>
      </c>
      <c r="B30" s="110"/>
      <c r="C30" s="111"/>
      <c r="D30" s="112"/>
      <c r="E30" s="110"/>
      <c r="F30" s="113"/>
      <c r="G30" s="113"/>
      <c r="H30" s="114">
        <f t="shared" si="1"/>
        <v>0</v>
      </c>
      <c r="N30" s="45" t="str">
        <f t="shared" si="0"/>
        <v/>
      </c>
      <c r="O30" s="45">
        <v>10</v>
      </c>
    </row>
    <row r="31" spans="1:15" s="45" customFormat="1" ht="25" customHeight="1" x14ac:dyDescent="0.35">
      <c r="A31" s="109">
        <v>28</v>
      </c>
      <c r="B31" s="110"/>
      <c r="C31" s="111"/>
      <c r="D31" s="112"/>
      <c r="E31" s="110"/>
      <c r="F31" s="113"/>
      <c r="G31" s="113"/>
      <c r="H31" s="114">
        <f t="shared" si="1"/>
        <v>0</v>
      </c>
      <c r="N31" s="45" t="str">
        <f t="shared" si="0"/>
        <v/>
      </c>
      <c r="O31" s="45">
        <v>10</v>
      </c>
    </row>
    <row r="32" spans="1:15" s="45" customFormat="1" ht="25" customHeight="1" x14ac:dyDescent="0.35">
      <c r="A32" s="109">
        <v>29</v>
      </c>
      <c r="B32" s="110"/>
      <c r="C32" s="111"/>
      <c r="D32" s="112"/>
      <c r="E32" s="110"/>
      <c r="F32" s="113"/>
      <c r="G32" s="113"/>
      <c r="H32" s="114">
        <f t="shared" si="1"/>
        <v>0</v>
      </c>
      <c r="N32" s="45" t="str">
        <f t="shared" si="0"/>
        <v/>
      </c>
      <c r="O32" s="45">
        <v>10</v>
      </c>
    </row>
    <row r="33" spans="1:15" s="45" customFormat="1" ht="25" customHeight="1" x14ac:dyDescent="0.35">
      <c r="A33" s="109">
        <v>30</v>
      </c>
      <c r="B33" s="110"/>
      <c r="C33" s="111"/>
      <c r="D33" s="112"/>
      <c r="E33" s="110"/>
      <c r="F33" s="113"/>
      <c r="G33" s="113"/>
      <c r="H33" s="114">
        <f t="shared" si="1"/>
        <v>0</v>
      </c>
      <c r="N33" s="45" t="str">
        <f t="shared" si="0"/>
        <v/>
      </c>
      <c r="O33" s="45">
        <v>10</v>
      </c>
    </row>
    <row r="34" spans="1:15" s="45" customFormat="1" ht="25" customHeight="1" x14ac:dyDescent="0.35">
      <c r="A34" s="109">
        <v>31</v>
      </c>
      <c r="B34" s="110"/>
      <c r="C34" s="111"/>
      <c r="D34" s="112"/>
      <c r="E34" s="110"/>
      <c r="F34" s="113"/>
      <c r="G34" s="113"/>
      <c r="H34" s="114">
        <f t="shared" si="1"/>
        <v>0</v>
      </c>
      <c r="N34" s="45" t="str">
        <f t="shared" si="0"/>
        <v/>
      </c>
      <c r="O34" s="45">
        <v>10</v>
      </c>
    </row>
    <row r="35" spans="1:15" s="45" customFormat="1" ht="25" customHeight="1" x14ac:dyDescent="0.35">
      <c r="A35" s="109">
        <v>32</v>
      </c>
      <c r="B35" s="110"/>
      <c r="C35" s="111"/>
      <c r="D35" s="112"/>
      <c r="E35" s="110"/>
      <c r="F35" s="113"/>
      <c r="G35" s="113"/>
      <c r="H35" s="114">
        <f t="shared" si="1"/>
        <v>0</v>
      </c>
      <c r="N35" s="45" t="str">
        <f t="shared" si="0"/>
        <v/>
      </c>
      <c r="O35" s="45">
        <v>10</v>
      </c>
    </row>
    <row r="36" spans="1:15" s="45" customFormat="1" ht="25" customHeight="1" x14ac:dyDescent="0.35">
      <c r="A36" s="109">
        <v>33</v>
      </c>
      <c r="B36" s="110"/>
      <c r="C36" s="111"/>
      <c r="D36" s="112"/>
      <c r="E36" s="110"/>
      <c r="F36" s="113"/>
      <c r="G36" s="113"/>
      <c r="H36" s="114">
        <f t="shared" si="1"/>
        <v>0</v>
      </c>
      <c r="N36" s="45" t="str">
        <f t="shared" si="0"/>
        <v/>
      </c>
      <c r="O36" s="45">
        <v>10</v>
      </c>
    </row>
    <row r="37" spans="1:15" s="45" customFormat="1" ht="25" customHeight="1" x14ac:dyDescent="0.35">
      <c r="A37" s="109">
        <v>34</v>
      </c>
      <c r="B37" s="110"/>
      <c r="C37" s="111"/>
      <c r="D37" s="112"/>
      <c r="E37" s="110"/>
      <c r="F37" s="113"/>
      <c r="G37" s="113"/>
      <c r="H37" s="114">
        <f t="shared" si="1"/>
        <v>0</v>
      </c>
      <c r="N37" s="45" t="str">
        <f t="shared" si="0"/>
        <v/>
      </c>
      <c r="O37" s="45">
        <v>10</v>
      </c>
    </row>
    <row r="38" spans="1:15" s="45" customFormat="1" ht="25" customHeight="1" x14ac:dyDescent="0.35">
      <c r="A38" s="109">
        <v>35</v>
      </c>
      <c r="B38" s="110"/>
      <c r="C38" s="111"/>
      <c r="D38" s="112"/>
      <c r="E38" s="110"/>
      <c r="F38" s="113"/>
      <c r="G38" s="113"/>
      <c r="H38" s="114">
        <f t="shared" si="1"/>
        <v>0</v>
      </c>
      <c r="N38" s="45" t="str">
        <f t="shared" si="0"/>
        <v/>
      </c>
      <c r="O38" s="45">
        <v>10</v>
      </c>
    </row>
    <row r="39" spans="1:15" s="45" customFormat="1" ht="25" customHeight="1" x14ac:dyDescent="0.35">
      <c r="A39" s="109">
        <v>36</v>
      </c>
      <c r="B39" s="110"/>
      <c r="C39" s="111"/>
      <c r="D39" s="112"/>
      <c r="E39" s="110"/>
      <c r="F39" s="113"/>
      <c r="G39" s="113"/>
      <c r="H39" s="114">
        <f t="shared" si="1"/>
        <v>0</v>
      </c>
      <c r="N39" s="45" t="str">
        <f t="shared" si="0"/>
        <v/>
      </c>
      <c r="O39" s="45">
        <v>10</v>
      </c>
    </row>
    <row r="40" spans="1:15" s="45" customFormat="1" ht="25" customHeight="1" x14ac:dyDescent="0.35">
      <c r="A40" s="109">
        <v>37</v>
      </c>
      <c r="B40" s="110"/>
      <c r="C40" s="111"/>
      <c r="D40" s="112"/>
      <c r="E40" s="110"/>
      <c r="F40" s="113"/>
      <c r="G40" s="113"/>
      <c r="H40" s="114">
        <f t="shared" si="1"/>
        <v>0</v>
      </c>
      <c r="N40" s="45" t="str">
        <f t="shared" si="0"/>
        <v/>
      </c>
      <c r="O40" s="45">
        <v>10</v>
      </c>
    </row>
    <row r="41" spans="1:15" s="45" customFormat="1" ht="25" customHeight="1" x14ac:dyDescent="0.35">
      <c r="A41" s="109">
        <v>38</v>
      </c>
      <c r="B41" s="110"/>
      <c r="C41" s="111"/>
      <c r="D41" s="112"/>
      <c r="E41" s="110"/>
      <c r="F41" s="113"/>
      <c r="G41" s="113"/>
      <c r="H41" s="114">
        <f t="shared" si="1"/>
        <v>0</v>
      </c>
      <c r="N41" s="45" t="str">
        <f t="shared" si="0"/>
        <v/>
      </c>
      <c r="O41" s="45">
        <v>10</v>
      </c>
    </row>
    <row r="42" spans="1:15" s="45" customFormat="1" ht="25" customHeight="1" x14ac:dyDescent="0.35">
      <c r="A42" s="109">
        <v>39</v>
      </c>
      <c r="B42" s="110"/>
      <c r="C42" s="111"/>
      <c r="D42" s="112"/>
      <c r="E42" s="110"/>
      <c r="F42" s="113"/>
      <c r="G42" s="113"/>
      <c r="H42" s="114">
        <f t="shared" si="1"/>
        <v>0</v>
      </c>
      <c r="N42" s="45" t="str">
        <f t="shared" si="0"/>
        <v/>
      </c>
      <c r="O42" s="45">
        <v>10</v>
      </c>
    </row>
    <row r="43" spans="1:15" s="45" customFormat="1" ht="25" customHeight="1" x14ac:dyDescent="0.35">
      <c r="A43" s="109">
        <v>40</v>
      </c>
      <c r="B43" s="110"/>
      <c r="C43" s="111"/>
      <c r="D43" s="112"/>
      <c r="E43" s="110"/>
      <c r="F43" s="113"/>
      <c r="G43" s="113"/>
      <c r="H43" s="114">
        <f t="shared" si="1"/>
        <v>0</v>
      </c>
      <c r="N43" s="45" t="str">
        <f t="shared" si="0"/>
        <v/>
      </c>
      <c r="O43" s="45">
        <v>10</v>
      </c>
    </row>
    <row r="44" spans="1:15" s="45" customFormat="1" ht="25" customHeight="1" x14ac:dyDescent="0.35">
      <c r="A44" s="109">
        <v>41</v>
      </c>
      <c r="B44" s="110"/>
      <c r="C44" s="111"/>
      <c r="D44" s="112"/>
      <c r="E44" s="110"/>
      <c r="F44" s="113"/>
      <c r="G44" s="113"/>
      <c r="H44" s="114">
        <f t="shared" si="1"/>
        <v>0</v>
      </c>
      <c r="N44" s="45" t="str">
        <f t="shared" si="0"/>
        <v/>
      </c>
      <c r="O44" s="45">
        <v>10</v>
      </c>
    </row>
    <row r="45" spans="1:15" s="45" customFormat="1" ht="25" customHeight="1" x14ac:dyDescent="0.35">
      <c r="A45" s="109">
        <v>42</v>
      </c>
      <c r="B45" s="110"/>
      <c r="C45" s="111"/>
      <c r="D45" s="112"/>
      <c r="E45" s="110"/>
      <c r="F45" s="113"/>
      <c r="G45" s="113"/>
      <c r="H45" s="114">
        <f t="shared" si="1"/>
        <v>0</v>
      </c>
      <c r="N45" s="45" t="str">
        <f t="shared" si="0"/>
        <v/>
      </c>
      <c r="O45" s="45">
        <v>10</v>
      </c>
    </row>
    <row r="46" spans="1:15" s="45" customFormat="1" ht="25" customHeight="1" x14ac:dyDescent="0.35">
      <c r="A46" s="109">
        <v>43</v>
      </c>
      <c r="B46" s="110"/>
      <c r="C46" s="111"/>
      <c r="D46" s="112"/>
      <c r="E46" s="110"/>
      <c r="F46" s="113"/>
      <c r="G46" s="113"/>
      <c r="H46" s="114">
        <f t="shared" si="1"/>
        <v>0</v>
      </c>
      <c r="N46" s="45" t="str">
        <f t="shared" si="0"/>
        <v/>
      </c>
      <c r="O46" s="45">
        <v>10</v>
      </c>
    </row>
    <row r="47" spans="1:15" s="45" customFormat="1" ht="25" customHeight="1" x14ac:dyDescent="0.35">
      <c r="A47" s="109">
        <v>44</v>
      </c>
      <c r="B47" s="110"/>
      <c r="C47" s="111"/>
      <c r="D47" s="112"/>
      <c r="E47" s="110"/>
      <c r="F47" s="113"/>
      <c r="G47" s="113"/>
      <c r="H47" s="114">
        <f t="shared" si="1"/>
        <v>0</v>
      </c>
      <c r="N47" s="45" t="str">
        <f t="shared" si="0"/>
        <v/>
      </c>
      <c r="O47" s="45">
        <v>10</v>
      </c>
    </row>
    <row r="48" spans="1:15" s="45" customFormat="1" ht="25" customHeight="1" x14ac:dyDescent="0.35">
      <c r="A48" s="109">
        <v>45</v>
      </c>
      <c r="B48" s="110"/>
      <c r="C48" s="111"/>
      <c r="D48" s="112"/>
      <c r="E48" s="110"/>
      <c r="F48" s="113"/>
      <c r="G48" s="113"/>
      <c r="H48" s="114">
        <f t="shared" si="1"/>
        <v>0</v>
      </c>
      <c r="N48" s="45" t="str">
        <f t="shared" si="0"/>
        <v/>
      </c>
      <c r="O48" s="45">
        <v>10</v>
      </c>
    </row>
    <row r="49" spans="1:15" s="45" customFormat="1" ht="25" customHeight="1" x14ac:dyDescent="0.35">
      <c r="A49" s="109">
        <v>46</v>
      </c>
      <c r="B49" s="110"/>
      <c r="C49" s="111"/>
      <c r="D49" s="112"/>
      <c r="E49" s="110"/>
      <c r="F49" s="113"/>
      <c r="G49" s="113"/>
      <c r="H49" s="114">
        <f t="shared" si="1"/>
        <v>0</v>
      </c>
      <c r="N49" s="45" t="str">
        <f t="shared" si="0"/>
        <v/>
      </c>
      <c r="O49" s="45">
        <v>10</v>
      </c>
    </row>
    <row r="50" spans="1:15" s="45" customFormat="1" ht="25" customHeight="1" x14ac:dyDescent="0.35">
      <c r="A50" s="109">
        <v>47</v>
      </c>
      <c r="B50" s="110"/>
      <c r="C50" s="111"/>
      <c r="D50" s="112"/>
      <c r="E50" s="110"/>
      <c r="F50" s="113"/>
      <c r="G50" s="113"/>
      <c r="H50" s="114">
        <f t="shared" si="1"/>
        <v>0</v>
      </c>
      <c r="N50" s="45" t="str">
        <f t="shared" si="0"/>
        <v/>
      </c>
      <c r="O50" s="45">
        <v>10</v>
      </c>
    </row>
    <row r="51" spans="1:15" s="45" customFormat="1" ht="25" customHeight="1" x14ac:dyDescent="0.35">
      <c r="A51" s="109">
        <v>48</v>
      </c>
      <c r="B51" s="110"/>
      <c r="C51" s="111"/>
      <c r="D51" s="112"/>
      <c r="E51" s="110"/>
      <c r="F51" s="113"/>
      <c r="G51" s="113"/>
      <c r="H51" s="114">
        <f t="shared" si="1"/>
        <v>0</v>
      </c>
      <c r="N51" s="45" t="str">
        <f t="shared" si="0"/>
        <v/>
      </c>
      <c r="O51" s="45">
        <v>10</v>
      </c>
    </row>
    <row r="52" spans="1:15" s="45" customFormat="1" ht="25" customHeight="1" x14ac:dyDescent="0.35">
      <c r="A52" s="109">
        <v>49</v>
      </c>
      <c r="B52" s="110"/>
      <c r="C52" s="111"/>
      <c r="D52" s="112"/>
      <c r="E52" s="110"/>
      <c r="F52" s="113"/>
      <c r="G52" s="113"/>
      <c r="H52" s="114">
        <f t="shared" si="1"/>
        <v>0</v>
      </c>
      <c r="N52" s="45" t="str">
        <f t="shared" si="0"/>
        <v/>
      </c>
      <c r="O52" s="45">
        <v>10</v>
      </c>
    </row>
    <row r="53" spans="1:15" s="45" customFormat="1" ht="25" customHeight="1" x14ac:dyDescent="0.35">
      <c r="A53" s="109">
        <v>50</v>
      </c>
      <c r="B53" s="110"/>
      <c r="C53" s="111"/>
      <c r="D53" s="112"/>
      <c r="E53" s="110"/>
      <c r="F53" s="113"/>
      <c r="G53" s="113"/>
      <c r="H53" s="114">
        <f t="shared" si="1"/>
        <v>0</v>
      </c>
      <c r="N53" s="45" t="str">
        <f t="shared" si="0"/>
        <v/>
      </c>
      <c r="O53" s="45">
        <v>10</v>
      </c>
    </row>
    <row r="54" spans="1:15" s="45" customFormat="1" ht="25" customHeight="1" x14ac:dyDescent="0.35">
      <c r="A54" s="109">
        <v>51</v>
      </c>
      <c r="B54" s="110"/>
      <c r="C54" s="111"/>
      <c r="D54" s="112"/>
      <c r="E54" s="110"/>
      <c r="F54" s="113"/>
      <c r="G54" s="113"/>
      <c r="H54" s="114">
        <f t="shared" si="1"/>
        <v>0</v>
      </c>
      <c r="N54" s="45" t="str">
        <f t="shared" si="0"/>
        <v/>
      </c>
      <c r="O54" s="45">
        <v>10</v>
      </c>
    </row>
    <row r="55" spans="1:15" s="45" customFormat="1" ht="25" customHeight="1" x14ac:dyDescent="0.35">
      <c r="A55" s="109">
        <v>52</v>
      </c>
      <c r="B55" s="110"/>
      <c r="C55" s="111"/>
      <c r="D55" s="112"/>
      <c r="E55" s="110"/>
      <c r="F55" s="113"/>
      <c r="G55" s="113"/>
      <c r="H55" s="114">
        <f t="shared" si="1"/>
        <v>0</v>
      </c>
      <c r="N55" s="45" t="str">
        <f t="shared" si="0"/>
        <v/>
      </c>
      <c r="O55" s="45">
        <v>10</v>
      </c>
    </row>
    <row r="56" spans="1:15" s="45" customFormat="1" ht="25" customHeight="1" x14ac:dyDescent="0.35">
      <c r="A56" s="109">
        <v>53</v>
      </c>
      <c r="B56" s="110"/>
      <c r="C56" s="111"/>
      <c r="D56" s="112"/>
      <c r="E56" s="110"/>
      <c r="F56" s="113"/>
      <c r="G56" s="113"/>
      <c r="H56" s="114">
        <f t="shared" si="1"/>
        <v>0</v>
      </c>
      <c r="N56" s="45" t="str">
        <f t="shared" si="0"/>
        <v/>
      </c>
      <c r="O56" s="45">
        <v>10</v>
      </c>
    </row>
    <row r="57" spans="1:15" s="45" customFormat="1" ht="25" customHeight="1" x14ac:dyDescent="0.35">
      <c r="A57" s="109">
        <v>54</v>
      </c>
      <c r="B57" s="110"/>
      <c r="C57" s="111"/>
      <c r="D57" s="112"/>
      <c r="E57" s="110"/>
      <c r="F57" s="113"/>
      <c r="G57" s="113"/>
      <c r="H57" s="114">
        <f t="shared" si="1"/>
        <v>0</v>
      </c>
      <c r="N57" s="45" t="str">
        <f t="shared" si="0"/>
        <v/>
      </c>
      <c r="O57" s="45">
        <v>10</v>
      </c>
    </row>
    <row r="58" spans="1:15" s="45" customFormat="1" ht="25" customHeight="1" x14ac:dyDescent="0.35">
      <c r="A58" s="109">
        <v>55</v>
      </c>
      <c r="B58" s="110"/>
      <c r="C58" s="111"/>
      <c r="D58" s="112"/>
      <c r="E58" s="110"/>
      <c r="F58" s="113"/>
      <c r="G58" s="113"/>
      <c r="H58" s="114">
        <f t="shared" si="1"/>
        <v>0</v>
      </c>
      <c r="N58" s="45" t="str">
        <f t="shared" si="0"/>
        <v/>
      </c>
      <c r="O58" s="45">
        <v>10</v>
      </c>
    </row>
    <row r="59" spans="1:15" s="45" customFormat="1" ht="25" customHeight="1" x14ac:dyDescent="0.35">
      <c r="A59" s="109">
        <v>56</v>
      </c>
      <c r="B59" s="110"/>
      <c r="C59" s="111"/>
      <c r="D59" s="112"/>
      <c r="E59" s="110"/>
      <c r="F59" s="113"/>
      <c r="G59" s="113"/>
      <c r="H59" s="114">
        <f t="shared" si="1"/>
        <v>0</v>
      </c>
      <c r="N59" s="45" t="str">
        <f t="shared" si="0"/>
        <v/>
      </c>
      <c r="O59" s="45">
        <v>10</v>
      </c>
    </row>
    <row r="60" spans="1:15" s="45" customFormat="1" ht="25" customHeight="1" x14ac:dyDescent="0.35">
      <c r="A60" s="109">
        <v>57</v>
      </c>
      <c r="B60" s="110"/>
      <c r="C60" s="111"/>
      <c r="D60" s="112"/>
      <c r="E60" s="110"/>
      <c r="F60" s="113"/>
      <c r="G60" s="113"/>
      <c r="H60" s="114">
        <f t="shared" si="1"/>
        <v>0</v>
      </c>
      <c r="N60" s="45" t="str">
        <f t="shared" si="0"/>
        <v/>
      </c>
      <c r="O60" s="45">
        <v>10</v>
      </c>
    </row>
    <row r="61" spans="1:15" s="45" customFormat="1" ht="25" customHeight="1" x14ac:dyDescent="0.35">
      <c r="A61" s="109">
        <v>58</v>
      </c>
      <c r="B61" s="110"/>
      <c r="C61" s="111"/>
      <c r="D61" s="112"/>
      <c r="E61" s="110"/>
      <c r="F61" s="113"/>
      <c r="G61" s="113"/>
      <c r="H61" s="114">
        <f t="shared" si="1"/>
        <v>0</v>
      </c>
      <c r="N61" s="45" t="str">
        <f t="shared" si="0"/>
        <v/>
      </c>
      <c r="O61" s="45">
        <v>10</v>
      </c>
    </row>
    <row r="62" spans="1:15" s="45" customFormat="1" ht="25" customHeight="1" x14ac:dyDescent="0.35">
      <c r="A62" s="109">
        <v>59</v>
      </c>
      <c r="B62" s="110"/>
      <c r="C62" s="111"/>
      <c r="D62" s="112"/>
      <c r="E62" s="110"/>
      <c r="F62" s="113"/>
      <c r="G62" s="113"/>
      <c r="H62" s="114">
        <f t="shared" si="1"/>
        <v>0</v>
      </c>
      <c r="N62" s="45" t="str">
        <f t="shared" si="0"/>
        <v/>
      </c>
      <c r="O62" s="45">
        <v>10</v>
      </c>
    </row>
    <row r="63" spans="1:15" s="45" customFormat="1" ht="25" customHeight="1" x14ac:dyDescent="0.35">
      <c r="A63" s="109">
        <v>60</v>
      </c>
      <c r="B63" s="110"/>
      <c r="C63" s="111"/>
      <c r="D63" s="112"/>
      <c r="E63" s="110"/>
      <c r="F63" s="113"/>
      <c r="G63" s="113"/>
      <c r="H63" s="114">
        <f t="shared" si="1"/>
        <v>0</v>
      </c>
      <c r="N63" s="45" t="str">
        <f t="shared" si="0"/>
        <v/>
      </c>
      <c r="O63" s="45">
        <v>10</v>
      </c>
    </row>
    <row r="64" spans="1:15" s="45" customFormat="1" ht="25" customHeight="1" x14ac:dyDescent="0.35">
      <c r="A64" s="109">
        <v>61</v>
      </c>
      <c r="B64" s="110"/>
      <c r="C64" s="111"/>
      <c r="D64" s="112"/>
      <c r="E64" s="110"/>
      <c r="F64" s="113"/>
      <c r="G64" s="113"/>
      <c r="H64" s="114">
        <f t="shared" si="1"/>
        <v>0</v>
      </c>
      <c r="N64" s="45" t="str">
        <f t="shared" si="0"/>
        <v/>
      </c>
      <c r="O64" s="45">
        <v>10</v>
      </c>
    </row>
    <row r="65" spans="1:15" s="45" customFormat="1" ht="25" customHeight="1" x14ac:dyDescent="0.35">
      <c r="A65" s="109">
        <v>62</v>
      </c>
      <c r="B65" s="110"/>
      <c r="C65" s="111"/>
      <c r="D65" s="112"/>
      <c r="E65" s="110"/>
      <c r="F65" s="113"/>
      <c r="G65" s="113"/>
      <c r="H65" s="114">
        <f t="shared" si="1"/>
        <v>0</v>
      </c>
      <c r="N65" s="45" t="str">
        <f t="shared" si="0"/>
        <v/>
      </c>
      <c r="O65" s="45">
        <v>10</v>
      </c>
    </row>
    <row r="66" spans="1:15" s="45" customFormat="1" ht="25" customHeight="1" x14ac:dyDescent="0.35">
      <c r="A66" s="109">
        <v>63</v>
      </c>
      <c r="B66" s="110"/>
      <c r="C66" s="111"/>
      <c r="D66" s="112"/>
      <c r="E66" s="110"/>
      <c r="F66" s="113"/>
      <c r="G66" s="113"/>
      <c r="H66" s="114">
        <f t="shared" si="1"/>
        <v>0</v>
      </c>
      <c r="N66" s="45" t="str">
        <f t="shared" si="0"/>
        <v/>
      </c>
      <c r="O66" s="45">
        <v>10</v>
      </c>
    </row>
    <row r="67" spans="1:15" s="45" customFormat="1" ht="25" customHeight="1" x14ac:dyDescent="0.35">
      <c r="A67" s="109">
        <v>64</v>
      </c>
      <c r="B67" s="110"/>
      <c r="C67" s="111"/>
      <c r="D67" s="112"/>
      <c r="E67" s="110"/>
      <c r="F67" s="113"/>
      <c r="G67" s="113"/>
      <c r="H67" s="114">
        <f t="shared" si="1"/>
        <v>0</v>
      </c>
      <c r="N67" s="45" t="str">
        <f t="shared" si="0"/>
        <v/>
      </c>
      <c r="O67" s="45">
        <v>10</v>
      </c>
    </row>
    <row r="68" spans="1:15" s="45" customFormat="1" ht="25" customHeight="1" x14ac:dyDescent="0.35">
      <c r="A68" s="109">
        <v>65</v>
      </c>
      <c r="B68" s="110"/>
      <c r="C68" s="111"/>
      <c r="D68" s="112"/>
      <c r="E68" s="110"/>
      <c r="F68" s="113"/>
      <c r="G68" s="113"/>
      <c r="H68" s="114">
        <f t="shared" si="1"/>
        <v>0</v>
      </c>
      <c r="N68" s="45" t="str">
        <f t="shared" si="0"/>
        <v/>
      </c>
      <c r="O68" s="45">
        <v>10</v>
      </c>
    </row>
    <row r="69" spans="1:15" s="45" customFormat="1" ht="25" customHeight="1" x14ac:dyDescent="0.35">
      <c r="A69" s="109">
        <v>66</v>
      </c>
      <c r="B69" s="110"/>
      <c r="C69" s="111"/>
      <c r="D69" s="112"/>
      <c r="E69" s="110"/>
      <c r="F69" s="113"/>
      <c r="G69" s="113"/>
      <c r="H69" s="114">
        <f t="shared" si="1"/>
        <v>0</v>
      </c>
      <c r="N69" s="45" t="str">
        <f t="shared" ref="N69:N132" si="2">IF(E69="","",TEXT(E69,"mmm-yyyy"))</f>
        <v/>
      </c>
      <c r="O69" s="45">
        <v>10</v>
      </c>
    </row>
    <row r="70" spans="1:15" s="45" customFormat="1" ht="25" customHeight="1" x14ac:dyDescent="0.35">
      <c r="A70" s="109">
        <v>67</v>
      </c>
      <c r="B70" s="110"/>
      <c r="C70" s="111"/>
      <c r="D70" s="112"/>
      <c r="E70" s="110"/>
      <c r="F70" s="113"/>
      <c r="G70" s="113"/>
      <c r="H70" s="114">
        <f t="shared" si="1"/>
        <v>0</v>
      </c>
      <c r="N70" s="45" t="str">
        <f t="shared" si="2"/>
        <v/>
      </c>
      <c r="O70" s="45">
        <v>10</v>
      </c>
    </row>
    <row r="71" spans="1:15" s="45" customFormat="1" ht="25" customHeight="1" x14ac:dyDescent="0.35">
      <c r="A71" s="109">
        <v>68</v>
      </c>
      <c r="B71" s="110"/>
      <c r="C71" s="111"/>
      <c r="D71" s="112"/>
      <c r="E71" s="110"/>
      <c r="F71" s="113"/>
      <c r="G71" s="113"/>
      <c r="H71" s="114">
        <f t="shared" si="1"/>
        <v>0</v>
      </c>
      <c r="N71" s="45" t="str">
        <f t="shared" si="2"/>
        <v/>
      </c>
      <c r="O71" s="45">
        <v>10</v>
      </c>
    </row>
    <row r="72" spans="1:15" s="45" customFormat="1" ht="25" customHeight="1" x14ac:dyDescent="0.35">
      <c r="A72" s="109">
        <v>69</v>
      </c>
      <c r="B72" s="110"/>
      <c r="C72" s="111"/>
      <c r="D72" s="112"/>
      <c r="E72" s="110"/>
      <c r="F72" s="113"/>
      <c r="G72" s="113"/>
      <c r="H72" s="114">
        <f t="shared" ref="H72:H135" si="3">G72-F72</f>
        <v>0</v>
      </c>
      <c r="N72" s="45" t="str">
        <f t="shared" si="2"/>
        <v/>
      </c>
      <c r="O72" s="45">
        <v>10</v>
      </c>
    </row>
    <row r="73" spans="1:15" s="45" customFormat="1" ht="25" customHeight="1" x14ac:dyDescent="0.35">
      <c r="A73" s="109">
        <v>70</v>
      </c>
      <c r="B73" s="110"/>
      <c r="C73" s="111"/>
      <c r="D73" s="112"/>
      <c r="E73" s="110"/>
      <c r="F73" s="113"/>
      <c r="G73" s="113"/>
      <c r="H73" s="114">
        <f t="shared" si="3"/>
        <v>0</v>
      </c>
      <c r="N73" s="45" t="str">
        <f t="shared" si="2"/>
        <v/>
      </c>
      <c r="O73" s="45">
        <v>10</v>
      </c>
    </row>
    <row r="74" spans="1:15" s="45" customFormat="1" ht="25" customHeight="1" x14ac:dyDescent="0.35">
      <c r="A74" s="109">
        <v>71</v>
      </c>
      <c r="B74" s="110"/>
      <c r="C74" s="111"/>
      <c r="D74" s="112"/>
      <c r="E74" s="110"/>
      <c r="F74" s="113"/>
      <c r="G74" s="113"/>
      <c r="H74" s="114">
        <f t="shared" si="3"/>
        <v>0</v>
      </c>
      <c r="N74" s="45" t="str">
        <f t="shared" si="2"/>
        <v/>
      </c>
      <c r="O74" s="45">
        <v>10</v>
      </c>
    </row>
    <row r="75" spans="1:15" s="45" customFormat="1" ht="25" customHeight="1" x14ac:dyDescent="0.35">
      <c r="A75" s="109">
        <v>72</v>
      </c>
      <c r="B75" s="110"/>
      <c r="C75" s="111"/>
      <c r="D75" s="112"/>
      <c r="E75" s="110"/>
      <c r="F75" s="113"/>
      <c r="G75" s="113"/>
      <c r="H75" s="114">
        <f t="shared" si="3"/>
        <v>0</v>
      </c>
      <c r="N75" s="45" t="str">
        <f t="shared" si="2"/>
        <v/>
      </c>
      <c r="O75" s="45">
        <v>10</v>
      </c>
    </row>
    <row r="76" spans="1:15" s="45" customFormat="1" ht="25" customHeight="1" x14ac:dyDescent="0.35">
      <c r="A76" s="109">
        <v>73</v>
      </c>
      <c r="B76" s="110"/>
      <c r="C76" s="111"/>
      <c r="D76" s="112"/>
      <c r="E76" s="110"/>
      <c r="F76" s="113"/>
      <c r="G76" s="113"/>
      <c r="H76" s="114">
        <f t="shared" si="3"/>
        <v>0</v>
      </c>
      <c r="N76" s="45" t="str">
        <f t="shared" si="2"/>
        <v/>
      </c>
      <c r="O76" s="45">
        <v>10</v>
      </c>
    </row>
    <row r="77" spans="1:15" s="45" customFormat="1" ht="25" customHeight="1" x14ac:dyDescent="0.35">
      <c r="A77" s="109">
        <v>74</v>
      </c>
      <c r="B77" s="110"/>
      <c r="C77" s="111"/>
      <c r="D77" s="112"/>
      <c r="E77" s="110"/>
      <c r="F77" s="113"/>
      <c r="G77" s="113"/>
      <c r="H77" s="114">
        <f t="shared" si="3"/>
        <v>0</v>
      </c>
      <c r="N77" s="45" t="str">
        <f t="shared" si="2"/>
        <v/>
      </c>
      <c r="O77" s="45">
        <v>10</v>
      </c>
    </row>
    <row r="78" spans="1:15" s="45" customFormat="1" ht="25" customHeight="1" x14ac:dyDescent="0.35">
      <c r="A78" s="109">
        <v>75</v>
      </c>
      <c r="B78" s="110"/>
      <c r="C78" s="111"/>
      <c r="D78" s="112"/>
      <c r="E78" s="110"/>
      <c r="F78" s="113"/>
      <c r="G78" s="113"/>
      <c r="H78" s="114">
        <f t="shared" si="3"/>
        <v>0</v>
      </c>
      <c r="N78" s="45" t="str">
        <f t="shared" si="2"/>
        <v/>
      </c>
      <c r="O78" s="45">
        <v>10</v>
      </c>
    </row>
    <row r="79" spans="1:15" s="45" customFormat="1" ht="25" customHeight="1" x14ac:dyDescent="0.35">
      <c r="A79" s="109">
        <v>76</v>
      </c>
      <c r="B79" s="110"/>
      <c r="C79" s="111"/>
      <c r="D79" s="112"/>
      <c r="E79" s="110"/>
      <c r="F79" s="113"/>
      <c r="G79" s="113"/>
      <c r="H79" s="114">
        <f t="shared" si="3"/>
        <v>0</v>
      </c>
      <c r="N79" s="45" t="str">
        <f t="shared" si="2"/>
        <v/>
      </c>
      <c r="O79" s="45">
        <v>10</v>
      </c>
    </row>
    <row r="80" spans="1:15" s="45" customFormat="1" ht="25" customHeight="1" x14ac:dyDescent="0.35">
      <c r="A80" s="109">
        <v>77</v>
      </c>
      <c r="B80" s="110"/>
      <c r="C80" s="111"/>
      <c r="D80" s="112"/>
      <c r="E80" s="110"/>
      <c r="F80" s="113"/>
      <c r="G80" s="113"/>
      <c r="H80" s="114">
        <f t="shared" si="3"/>
        <v>0</v>
      </c>
      <c r="N80" s="45" t="str">
        <f t="shared" si="2"/>
        <v/>
      </c>
      <c r="O80" s="45">
        <v>10</v>
      </c>
    </row>
    <row r="81" spans="1:15" s="45" customFormat="1" ht="25" customHeight="1" x14ac:dyDescent="0.35">
      <c r="A81" s="109">
        <v>78</v>
      </c>
      <c r="B81" s="110"/>
      <c r="C81" s="111"/>
      <c r="D81" s="112"/>
      <c r="E81" s="110"/>
      <c r="F81" s="113"/>
      <c r="G81" s="113"/>
      <c r="H81" s="114">
        <f t="shared" si="3"/>
        <v>0</v>
      </c>
      <c r="N81" s="45" t="str">
        <f t="shared" si="2"/>
        <v/>
      </c>
      <c r="O81" s="45">
        <v>10</v>
      </c>
    </row>
    <row r="82" spans="1:15" s="45" customFormat="1" ht="25" customHeight="1" x14ac:dyDescent="0.35">
      <c r="A82" s="109">
        <v>79</v>
      </c>
      <c r="B82" s="110"/>
      <c r="C82" s="111"/>
      <c r="D82" s="112"/>
      <c r="E82" s="110"/>
      <c r="F82" s="113"/>
      <c r="G82" s="113"/>
      <c r="H82" s="114">
        <f t="shared" si="3"/>
        <v>0</v>
      </c>
      <c r="N82" s="45" t="str">
        <f t="shared" si="2"/>
        <v/>
      </c>
      <c r="O82" s="45">
        <v>10</v>
      </c>
    </row>
    <row r="83" spans="1:15" s="45" customFormat="1" ht="25" customHeight="1" x14ac:dyDescent="0.35">
      <c r="A83" s="109">
        <v>80</v>
      </c>
      <c r="B83" s="110"/>
      <c r="C83" s="111"/>
      <c r="D83" s="112"/>
      <c r="E83" s="110"/>
      <c r="F83" s="113"/>
      <c r="G83" s="113"/>
      <c r="H83" s="114">
        <f t="shared" si="3"/>
        <v>0</v>
      </c>
      <c r="N83" s="45" t="str">
        <f t="shared" si="2"/>
        <v/>
      </c>
      <c r="O83" s="45">
        <v>10</v>
      </c>
    </row>
    <row r="84" spans="1:15" s="45" customFormat="1" ht="25" customHeight="1" x14ac:dyDescent="0.35">
      <c r="A84" s="109">
        <v>81</v>
      </c>
      <c r="B84" s="110"/>
      <c r="C84" s="111"/>
      <c r="D84" s="112"/>
      <c r="E84" s="110"/>
      <c r="F84" s="113"/>
      <c r="G84" s="113"/>
      <c r="H84" s="114">
        <f t="shared" si="3"/>
        <v>0</v>
      </c>
      <c r="N84" s="45" t="str">
        <f t="shared" si="2"/>
        <v/>
      </c>
      <c r="O84" s="45">
        <v>10</v>
      </c>
    </row>
    <row r="85" spans="1:15" s="45" customFormat="1" ht="25" customHeight="1" x14ac:dyDescent="0.35">
      <c r="A85" s="109">
        <v>82</v>
      </c>
      <c r="B85" s="110"/>
      <c r="C85" s="111"/>
      <c r="D85" s="112"/>
      <c r="E85" s="110"/>
      <c r="F85" s="113"/>
      <c r="G85" s="113"/>
      <c r="H85" s="114">
        <f t="shared" si="3"/>
        <v>0</v>
      </c>
      <c r="N85" s="45" t="str">
        <f t="shared" si="2"/>
        <v/>
      </c>
      <c r="O85" s="45">
        <v>10</v>
      </c>
    </row>
    <row r="86" spans="1:15" s="45" customFormat="1" ht="25" customHeight="1" x14ac:dyDescent="0.35">
      <c r="A86" s="109">
        <v>83</v>
      </c>
      <c r="B86" s="110"/>
      <c r="C86" s="111"/>
      <c r="D86" s="112"/>
      <c r="E86" s="110"/>
      <c r="F86" s="113"/>
      <c r="G86" s="113"/>
      <c r="H86" s="114">
        <f t="shared" si="3"/>
        <v>0</v>
      </c>
      <c r="N86" s="45" t="str">
        <f t="shared" si="2"/>
        <v/>
      </c>
      <c r="O86" s="45">
        <v>10</v>
      </c>
    </row>
    <row r="87" spans="1:15" s="45" customFormat="1" ht="25" customHeight="1" x14ac:dyDescent="0.35">
      <c r="A87" s="109">
        <v>84</v>
      </c>
      <c r="B87" s="110"/>
      <c r="C87" s="111"/>
      <c r="D87" s="112"/>
      <c r="E87" s="110"/>
      <c r="F87" s="113"/>
      <c r="G87" s="113"/>
      <c r="H87" s="114">
        <f t="shared" si="3"/>
        <v>0</v>
      </c>
      <c r="N87" s="45" t="str">
        <f t="shared" si="2"/>
        <v/>
      </c>
      <c r="O87" s="45">
        <v>10</v>
      </c>
    </row>
    <row r="88" spans="1:15" s="45" customFormat="1" ht="25" customHeight="1" x14ac:dyDescent="0.35">
      <c r="A88" s="109">
        <v>85</v>
      </c>
      <c r="B88" s="110"/>
      <c r="C88" s="111"/>
      <c r="D88" s="112"/>
      <c r="E88" s="110"/>
      <c r="F88" s="113"/>
      <c r="G88" s="113"/>
      <c r="H88" s="114">
        <f t="shared" si="3"/>
        <v>0</v>
      </c>
      <c r="N88" s="45" t="str">
        <f t="shared" si="2"/>
        <v/>
      </c>
      <c r="O88" s="45">
        <v>10</v>
      </c>
    </row>
    <row r="89" spans="1:15" s="45" customFormat="1" ht="25" customHeight="1" x14ac:dyDescent="0.35">
      <c r="A89" s="109">
        <v>86</v>
      </c>
      <c r="B89" s="110"/>
      <c r="C89" s="111"/>
      <c r="D89" s="112"/>
      <c r="E89" s="110"/>
      <c r="F89" s="113"/>
      <c r="G89" s="113"/>
      <c r="H89" s="114">
        <f t="shared" si="3"/>
        <v>0</v>
      </c>
      <c r="N89" s="45" t="str">
        <f t="shared" si="2"/>
        <v/>
      </c>
      <c r="O89" s="45">
        <v>10</v>
      </c>
    </row>
    <row r="90" spans="1:15" s="45" customFormat="1" ht="25" customHeight="1" x14ac:dyDescent="0.35">
      <c r="A90" s="109">
        <v>87</v>
      </c>
      <c r="B90" s="110"/>
      <c r="C90" s="111"/>
      <c r="D90" s="112"/>
      <c r="E90" s="110"/>
      <c r="F90" s="113"/>
      <c r="G90" s="113"/>
      <c r="H90" s="114">
        <f t="shared" si="3"/>
        <v>0</v>
      </c>
      <c r="N90" s="45" t="str">
        <f t="shared" si="2"/>
        <v/>
      </c>
      <c r="O90" s="45">
        <v>10</v>
      </c>
    </row>
    <row r="91" spans="1:15" s="45" customFormat="1" ht="25" customHeight="1" x14ac:dyDescent="0.35">
      <c r="A91" s="109">
        <v>88</v>
      </c>
      <c r="B91" s="110"/>
      <c r="C91" s="111"/>
      <c r="D91" s="112"/>
      <c r="E91" s="110"/>
      <c r="F91" s="113"/>
      <c r="G91" s="113"/>
      <c r="H91" s="114">
        <f t="shared" si="3"/>
        <v>0</v>
      </c>
      <c r="N91" s="45" t="str">
        <f t="shared" si="2"/>
        <v/>
      </c>
      <c r="O91" s="45">
        <v>10</v>
      </c>
    </row>
    <row r="92" spans="1:15" s="45" customFormat="1" ht="25" customHeight="1" x14ac:dyDescent="0.35">
      <c r="A92" s="109">
        <v>89</v>
      </c>
      <c r="B92" s="110"/>
      <c r="C92" s="111"/>
      <c r="D92" s="112"/>
      <c r="E92" s="110"/>
      <c r="F92" s="113"/>
      <c r="G92" s="113"/>
      <c r="H92" s="114">
        <f t="shared" si="3"/>
        <v>0</v>
      </c>
      <c r="N92" s="45" t="str">
        <f t="shared" si="2"/>
        <v/>
      </c>
      <c r="O92" s="45">
        <v>10</v>
      </c>
    </row>
    <row r="93" spans="1:15" s="45" customFormat="1" ht="25" customHeight="1" x14ac:dyDescent="0.35">
      <c r="A93" s="109">
        <v>90</v>
      </c>
      <c r="B93" s="110"/>
      <c r="C93" s="111"/>
      <c r="D93" s="112"/>
      <c r="E93" s="110"/>
      <c r="F93" s="113"/>
      <c r="G93" s="113"/>
      <c r="H93" s="114">
        <f t="shared" si="3"/>
        <v>0</v>
      </c>
      <c r="N93" s="45" t="str">
        <f t="shared" si="2"/>
        <v/>
      </c>
      <c r="O93" s="45">
        <v>10</v>
      </c>
    </row>
    <row r="94" spans="1:15" s="45" customFormat="1" ht="25" customHeight="1" x14ac:dyDescent="0.35">
      <c r="A94" s="109">
        <v>91</v>
      </c>
      <c r="B94" s="110"/>
      <c r="C94" s="111"/>
      <c r="D94" s="112"/>
      <c r="E94" s="110"/>
      <c r="F94" s="113"/>
      <c r="G94" s="113"/>
      <c r="H94" s="114">
        <f t="shared" si="3"/>
        <v>0</v>
      </c>
      <c r="N94" s="45" t="str">
        <f t="shared" si="2"/>
        <v/>
      </c>
      <c r="O94" s="45">
        <v>10</v>
      </c>
    </row>
    <row r="95" spans="1:15" s="45" customFormat="1" ht="25" customHeight="1" x14ac:dyDescent="0.35">
      <c r="A95" s="109">
        <v>92</v>
      </c>
      <c r="B95" s="110"/>
      <c r="C95" s="111"/>
      <c r="D95" s="112"/>
      <c r="E95" s="110"/>
      <c r="F95" s="113"/>
      <c r="G95" s="113"/>
      <c r="H95" s="114">
        <f t="shared" si="3"/>
        <v>0</v>
      </c>
      <c r="N95" s="45" t="str">
        <f t="shared" si="2"/>
        <v/>
      </c>
      <c r="O95" s="45">
        <v>10</v>
      </c>
    </row>
    <row r="96" spans="1:15" s="45" customFormat="1" ht="25" customHeight="1" x14ac:dyDescent="0.35">
      <c r="A96" s="109">
        <v>93</v>
      </c>
      <c r="B96" s="110"/>
      <c r="C96" s="111"/>
      <c r="D96" s="112"/>
      <c r="E96" s="110"/>
      <c r="F96" s="113"/>
      <c r="G96" s="113"/>
      <c r="H96" s="114">
        <f t="shared" si="3"/>
        <v>0</v>
      </c>
      <c r="N96" s="45" t="str">
        <f t="shared" si="2"/>
        <v/>
      </c>
      <c r="O96" s="45">
        <v>10</v>
      </c>
    </row>
    <row r="97" spans="1:15" s="45" customFormat="1" ht="25" customHeight="1" x14ac:dyDescent="0.35">
      <c r="A97" s="109">
        <v>94</v>
      </c>
      <c r="B97" s="110"/>
      <c r="C97" s="111"/>
      <c r="D97" s="112"/>
      <c r="E97" s="110"/>
      <c r="F97" s="113"/>
      <c r="G97" s="113"/>
      <c r="H97" s="114">
        <f t="shared" si="3"/>
        <v>0</v>
      </c>
      <c r="N97" s="45" t="str">
        <f t="shared" si="2"/>
        <v/>
      </c>
      <c r="O97" s="45">
        <v>10</v>
      </c>
    </row>
    <row r="98" spans="1:15" s="45" customFormat="1" ht="25" customHeight="1" x14ac:dyDescent="0.35">
      <c r="A98" s="109">
        <v>95</v>
      </c>
      <c r="B98" s="110"/>
      <c r="C98" s="111"/>
      <c r="D98" s="112"/>
      <c r="E98" s="110"/>
      <c r="F98" s="113"/>
      <c r="G98" s="113"/>
      <c r="H98" s="114">
        <f t="shared" si="3"/>
        <v>0</v>
      </c>
      <c r="N98" s="45" t="str">
        <f t="shared" si="2"/>
        <v/>
      </c>
      <c r="O98" s="45">
        <v>10</v>
      </c>
    </row>
    <row r="99" spans="1:15" s="45" customFormat="1" ht="25" customHeight="1" x14ac:dyDescent="0.35">
      <c r="A99" s="109">
        <v>96</v>
      </c>
      <c r="B99" s="110"/>
      <c r="C99" s="111"/>
      <c r="D99" s="112"/>
      <c r="E99" s="110"/>
      <c r="F99" s="113"/>
      <c r="G99" s="113"/>
      <c r="H99" s="114">
        <f t="shared" si="3"/>
        <v>0</v>
      </c>
      <c r="N99" s="45" t="str">
        <f t="shared" si="2"/>
        <v/>
      </c>
      <c r="O99" s="45">
        <v>10</v>
      </c>
    </row>
    <row r="100" spans="1:15" s="45" customFormat="1" ht="25" customHeight="1" x14ac:dyDescent="0.35">
      <c r="A100" s="109">
        <v>97</v>
      </c>
      <c r="B100" s="110"/>
      <c r="C100" s="111"/>
      <c r="D100" s="112"/>
      <c r="E100" s="110"/>
      <c r="F100" s="113"/>
      <c r="G100" s="113"/>
      <c r="H100" s="114">
        <f t="shared" si="3"/>
        <v>0</v>
      </c>
      <c r="N100" s="45" t="str">
        <f t="shared" si="2"/>
        <v/>
      </c>
      <c r="O100" s="45">
        <v>10</v>
      </c>
    </row>
    <row r="101" spans="1:15" s="45" customFormat="1" ht="25" customHeight="1" x14ac:dyDescent="0.35">
      <c r="A101" s="109">
        <v>98</v>
      </c>
      <c r="B101" s="110"/>
      <c r="C101" s="111"/>
      <c r="D101" s="112"/>
      <c r="E101" s="110"/>
      <c r="F101" s="113"/>
      <c r="G101" s="113"/>
      <c r="H101" s="114">
        <f t="shared" si="3"/>
        <v>0</v>
      </c>
      <c r="N101" s="45" t="str">
        <f t="shared" si="2"/>
        <v/>
      </c>
      <c r="O101" s="45">
        <v>10</v>
      </c>
    </row>
    <row r="102" spans="1:15" s="45" customFormat="1" ht="25" customHeight="1" x14ac:dyDescent="0.35">
      <c r="A102" s="109">
        <v>99</v>
      </c>
      <c r="B102" s="110"/>
      <c r="C102" s="111"/>
      <c r="D102" s="112"/>
      <c r="E102" s="110"/>
      <c r="F102" s="113"/>
      <c r="G102" s="113"/>
      <c r="H102" s="114">
        <f t="shared" si="3"/>
        <v>0</v>
      </c>
      <c r="N102" s="45" t="str">
        <f t="shared" si="2"/>
        <v/>
      </c>
      <c r="O102" s="45">
        <v>10</v>
      </c>
    </row>
    <row r="103" spans="1:15" s="45" customFormat="1" ht="25" customHeight="1" x14ac:dyDescent="0.35">
      <c r="A103" s="109">
        <v>100</v>
      </c>
      <c r="B103" s="110"/>
      <c r="C103" s="111"/>
      <c r="D103" s="112"/>
      <c r="E103" s="110"/>
      <c r="F103" s="113"/>
      <c r="G103" s="113"/>
      <c r="H103" s="114">
        <f t="shared" si="3"/>
        <v>0</v>
      </c>
      <c r="N103" s="45" t="str">
        <f t="shared" si="2"/>
        <v/>
      </c>
      <c r="O103" s="45">
        <v>10</v>
      </c>
    </row>
    <row r="104" spans="1:15" s="45" customFormat="1" ht="25" customHeight="1" x14ac:dyDescent="0.35">
      <c r="A104" s="109">
        <v>101</v>
      </c>
      <c r="B104" s="110"/>
      <c r="C104" s="111"/>
      <c r="D104" s="112"/>
      <c r="E104" s="110"/>
      <c r="F104" s="113"/>
      <c r="G104" s="113"/>
      <c r="H104" s="114">
        <f t="shared" si="3"/>
        <v>0</v>
      </c>
      <c r="N104" s="45" t="str">
        <f t="shared" si="2"/>
        <v/>
      </c>
      <c r="O104" s="45">
        <v>10</v>
      </c>
    </row>
    <row r="105" spans="1:15" s="45" customFormat="1" ht="25" customHeight="1" x14ac:dyDescent="0.35">
      <c r="A105" s="109">
        <v>102</v>
      </c>
      <c r="B105" s="110"/>
      <c r="C105" s="111"/>
      <c r="D105" s="112"/>
      <c r="E105" s="110"/>
      <c r="F105" s="113"/>
      <c r="G105" s="113"/>
      <c r="H105" s="114">
        <f t="shared" si="3"/>
        <v>0</v>
      </c>
      <c r="N105" s="45" t="str">
        <f t="shared" si="2"/>
        <v/>
      </c>
      <c r="O105" s="45">
        <v>10</v>
      </c>
    </row>
    <row r="106" spans="1:15" s="45" customFormat="1" ht="25" customHeight="1" x14ac:dyDescent="0.35">
      <c r="A106" s="109">
        <v>103</v>
      </c>
      <c r="B106" s="110"/>
      <c r="C106" s="111"/>
      <c r="D106" s="112"/>
      <c r="E106" s="110"/>
      <c r="F106" s="113"/>
      <c r="G106" s="113"/>
      <c r="H106" s="114">
        <f t="shared" si="3"/>
        <v>0</v>
      </c>
      <c r="N106" s="45" t="str">
        <f t="shared" si="2"/>
        <v/>
      </c>
      <c r="O106" s="45">
        <v>10</v>
      </c>
    </row>
    <row r="107" spans="1:15" s="45" customFormat="1" ht="25" customHeight="1" x14ac:dyDescent="0.35">
      <c r="A107" s="109">
        <v>104</v>
      </c>
      <c r="B107" s="110"/>
      <c r="C107" s="111"/>
      <c r="D107" s="112"/>
      <c r="E107" s="110"/>
      <c r="F107" s="113"/>
      <c r="G107" s="113"/>
      <c r="H107" s="114">
        <f t="shared" si="3"/>
        <v>0</v>
      </c>
      <c r="N107" s="45" t="str">
        <f t="shared" si="2"/>
        <v/>
      </c>
      <c r="O107" s="45">
        <v>10</v>
      </c>
    </row>
    <row r="108" spans="1:15" s="45" customFormat="1" ht="25" customHeight="1" x14ac:dyDescent="0.35">
      <c r="A108" s="109">
        <v>105</v>
      </c>
      <c r="B108" s="110"/>
      <c r="C108" s="111"/>
      <c r="D108" s="112"/>
      <c r="E108" s="110"/>
      <c r="F108" s="113"/>
      <c r="G108" s="113"/>
      <c r="H108" s="114">
        <f t="shared" si="3"/>
        <v>0</v>
      </c>
      <c r="N108" s="45" t="str">
        <f t="shared" si="2"/>
        <v/>
      </c>
      <c r="O108" s="45">
        <v>10</v>
      </c>
    </row>
    <row r="109" spans="1:15" s="45" customFormat="1" ht="25" customHeight="1" x14ac:dyDescent="0.35">
      <c r="A109" s="109">
        <v>106</v>
      </c>
      <c r="B109" s="110"/>
      <c r="C109" s="111"/>
      <c r="D109" s="112"/>
      <c r="E109" s="110"/>
      <c r="F109" s="113"/>
      <c r="G109" s="113"/>
      <c r="H109" s="114">
        <f t="shared" si="3"/>
        <v>0</v>
      </c>
      <c r="N109" s="45" t="str">
        <f t="shared" si="2"/>
        <v/>
      </c>
      <c r="O109" s="45">
        <v>10</v>
      </c>
    </row>
    <row r="110" spans="1:15" s="45" customFormat="1" ht="25" customHeight="1" x14ac:dyDescent="0.35">
      <c r="A110" s="109">
        <v>107</v>
      </c>
      <c r="B110" s="110"/>
      <c r="C110" s="111"/>
      <c r="D110" s="112"/>
      <c r="E110" s="110"/>
      <c r="F110" s="113"/>
      <c r="G110" s="113"/>
      <c r="H110" s="114">
        <f t="shared" si="3"/>
        <v>0</v>
      </c>
      <c r="N110" s="45" t="str">
        <f t="shared" si="2"/>
        <v/>
      </c>
      <c r="O110" s="45">
        <v>10</v>
      </c>
    </row>
    <row r="111" spans="1:15" s="45" customFormat="1" ht="25" customHeight="1" x14ac:dyDescent="0.35">
      <c r="A111" s="109">
        <v>108</v>
      </c>
      <c r="B111" s="110"/>
      <c r="C111" s="111"/>
      <c r="D111" s="112"/>
      <c r="E111" s="110"/>
      <c r="F111" s="113"/>
      <c r="G111" s="113"/>
      <c r="H111" s="114">
        <f t="shared" si="3"/>
        <v>0</v>
      </c>
      <c r="N111" s="45" t="str">
        <f t="shared" si="2"/>
        <v/>
      </c>
      <c r="O111" s="45">
        <v>10</v>
      </c>
    </row>
    <row r="112" spans="1:15" s="45" customFormat="1" ht="25" customHeight="1" x14ac:dyDescent="0.35">
      <c r="A112" s="109">
        <v>109</v>
      </c>
      <c r="B112" s="110"/>
      <c r="C112" s="111"/>
      <c r="D112" s="112"/>
      <c r="E112" s="110"/>
      <c r="F112" s="113"/>
      <c r="G112" s="113"/>
      <c r="H112" s="114">
        <f t="shared" si="3"/>
        <v>0</v>
      </c>
      <c r="N112" s="45" t="str">
        <f t="shared" si="2"/>
        <v/>
      </c>
      <c r="O112" s="45">
        <v>10</v>
      </c>
    </row>
    <row r="113" spans="1:15" s="45" customFormat="1" ht="25" customHeight="1" x14ac:dyDescent="0.35">
      <c r="A113" s="109">
        <v>110</v>
      </c>
      <c r="B113" s="110"/>
      <c r="C113" s="111"/>
      <c r="D113" s="112"/>
      <c r="E113" s="110"/>
      <c r="F113" s="113"/>
      <c r="G113" s="113"/>
      <c r="H113" s="114">
        <f t="shared" si="3"/>
        <v>0</v>
      </c>
      <c r="N113" s="45" t="str">
        <f t="shared" si="2"/>
        <v/>
      </c>
      <c r="O113" s="45">
        <v>10</v>
      </c>
    </row>
    <row r="114" spans="1:15" s="45" customFormat="1" ht="25" customHeight="1" x14ac:dyDescent="0.35">
      <c r="A114" s="109">
        <v>111</v>
      </c>
      <c r="B114" s="110"/>
      <c r="C114" s="111"/>
      <c r="D114" s="112"/>
      <c r="E114" s="110"/>
      <c r="F114" s="113"/>
      <c r="G114" s="113"/>
      <c r="H114" s="114">
        <f t="shared" si="3"/>
        <v>0</v>
      </c>
      <c r="N114" s="45" t="str">
        <f t="shared" si="2"/>
        <v/>
      </c>
      <c r="O114" s="45">
        <v>10</v>
      </c>
    </row>
    <row r="115" spans="1:15" s="45" customFormat="1" ht="25" customHeight="1" x14ac:dyDescent="0.35">
      <c r="A115" s="109">
        <v>112</v>
      </c>
      <c r="B115" s="110"/>
      <c r="C115" s="111"/>
      <c r="D115" s="112"/>
      <c r="E115" s="110"/>
      <c r="F115" s="113"/>
      <c r="G115" s="113"/>
      <c r="H115" s="114">
        <f t="shared" si="3"/>
        <v>0</v>
      </c>
      <c r="N115" s="45" t="str">
        <f t="shared" si="2"/>
        <v/>
      </c>
      <c r="O115" s="45">
        <v>10</v>
      </c>
    </row>
    <row r="116" spans="1:15" s="45" customFormat="1" ht="25" customHeight="1" x14ac:dyDescent="0.35">
      <c r="A116" s="109">
        <v>113</v>
      </c>
      <c r="B116" s="110"/>
      <c r="C116" s="111"/>
      <c r="D116" s="112"/>
      <c r="E116" s="110"/>
      <c r="F116" s="113"/>
      <c r="G116" s="113"/>
      <c r="H116" s="114">
        <f t="shared" si="3"/>
        <v>0</v>
      </c>
      <c r="N116" s="45" t="str">
        <f t="shared" si="2"/>
        <v/>
      </c>
      <c r="O116" s="45">
        <v>10</v>
      </c>
    </row>
    <row r="117" spans="1:15" s="45" customFormat="1" ht="25" customHeight="1" x14ac:dyDescent="0.35">
      <c r="A117" s="109">
        <v>114</v>
      </c>
      <c r="B117" s="110"/>
      <c r="C117" s="111"/>
      <c r="D117" s="112"/>
      <c r="E117" s="110"/>
      <c r="F117" s="113"/>
      <c r="G117" s="113"/>
      <c r="H117" s="114">
        <f t="shared" si="3"/>
        <v>0</v>
      </c>
      <c r="N117" s="45" t="str">
        <f t="shared" si="2"/>
        <v/>
      </c>
      <c r="O117" s="45">
        <v>10</v>
      </c>
    </row>
    <row r="118" spans="1:15" s="45" customFormat="1" ht="25" customHeight="1" x14ac:dyDescent="0.35">
      <c r="A118" s="109">
        <v>115</v>
      </c>
      <c r="B118" s="110"/>
      <c r="C118" s="111"/>
      <c r="D118" s="112"/>
      <c r="E118" s="110"/>
      <c r="F118" s="113"/>
      <c r="G118" s="113"/>
      <c r="H118" s="114">
        <f t="shared" si="3"/>
        <v>0</v>
      </c>
      <c r="N118" s="45" t="str">
        <f t="shared" si="2"/>
        <v/>
      </c>
      <c r="O118" s="45">
        <v>10</v>
      </c>
    </row>
    <row r="119" spans="1:15" s="45" customFormat="1" ht="25" customHeight="1" x14ac:dyDescent="0.35">
      <c r="A119" s="109">
        <v>116</v>
      </c>
      <c r="B119" s="110"/>
      <c r="C119" s="111"/>
      <c r="D119" s="112"/>
      <c r="E119" s="110"/>
      <c r="F119" s="113"/>
      <c r="G119" s="113"/>
      <c r="H119" s="114">
        <f t="shared" si="3"/>
        <v>0</v>
      </c>
      <c r="N119" s="45" t="str">
        <f t="shared" si="2"/>
        <v/>
      </c>
      <c r="O119" s="45">
        <v>10</v>
      </c>
    </row>
    <row r="120" spans="1:15" s="45" customFormat="1" ht="25" customHeight="1" x14ac:dyDescent="0.35">
      <c r="A120" s="109">
        <v>117</v>
      </c>
      <c r="B120" s="110"/>
      <c r="C120" s="111"/>
      <c r="D120" s="112"/>
      <c r="E120" s="110"/>
      <c r="F120" s="113"/>
      <c r="G120" s="113"/>
      <c r="H120" s="114">
        <f t="shared" si="3"/>
        <v>0</v>
      </c>
      <c r="N120" s="45" t="str">
        <f t="shared" si="2"/>
        <v/>
      </c>
      <c r="O120" s="45">
        <v>10</v>
      </c>
    </row>
    <row r="121" spans="1:15" s="45" customFormat="1" ht="25" customHeight="1" x14ac:dyDescent="0.35">
      <c r="A121" s="109">
        <v>118</v>
      </c>
      <c r="B121" s="110"/>
      <c r="C121" s="111"/>
      <c r="D121" s="112"/>
      <c r="E121" s="110"/>
      <c r="F121" s="113"/>
      <c r="G121" s="113"/>
      <c r="H121" s="114">
        <f t="shared" si="3"/>
        <v>0</v>
      </c>
      <c r="N121" s="45" t="str">
        <f t="shared" si="2"/>
        <v/>
      </c>
      <c r="O121" s="45">
        <v>10</v>
      </c>
    </row>
    <row r="122" spans="1:15" s="45" customFormat="1" ht="25" customHeight="1" x14ac:dyDescent="0.35">
      <c r="A122" s="109">
        <v>119</v>
      </c>
      <c r="B122" s="110"/>
      <c r="C122" s="111"/>
      <c r="D122" s="112"/>
      <c r="E122" s="110"/>
      <c r="F122" s="113"/>
      <c r="G122" s="113"/>
      <c r="H122" s="114">
        <f t="shared" si="3"/>
        <v>0</v>
      </c>
      <c r="N122" s="45" t="str">
        <f t="shared" si="2"/>
        <v/>
      </c>
      <c r="O122" s="45">
        <v>10</v>
      </c>
    </row>
    <row r="123" spans="1:15" s="45" customFormat="1" ht="25" customHeight="1" x14ac:dyDescent="0.35">
      <c r="A123" s="109">
        <v>120</v>
      </c>
      <c r="B123" s="110"/>
      <c r="C123" s="111"/>
      <c r="D123" s="112"/>
      <c r="E123" s="110"/>
      <c r="F123" s="113"/>
      <c r="G123" s="113"/>
      <c r="H123" s="114">
        <f t="shared" si="3"/>
        <v>0</v>
      </c>
      <c r="N123" s="45" t="str">
        <f t="shared" si="2"/>
        <v/>
      </c>
      <c r="O123" s="45">
        <v>10</v>
      </c>
    </row>
    <row r="124" spans="1:15" s="45" customFormat="1" ht="25" customHeight="1" x14ac:dyDescent="0.35">
      <c r="A124" s="109">
        <v>121</v>
      </c>
      <c r="B124" s="110"/>
      <c r="C124" s="111"/>
      <c r="D124" s="112"/>
      <c r="E124" s="110"/>
      <c r="F124" s="113"/>
      <c r="G124" s="113"/>
      <c r="H124" s="114">
        <f t="shared" si="3"/>
        <v>0</v>
      </c>
      <c r="N124" s="45" t="str">
        <f t="shared" si="2"/>
        <v/>
      </c>
      <c r="O124" s="45">
        <v>10</v>
      </c>
    </row>
    <row r="125" spans="1:15" s="45" customFormat="1" ht="25" customHeight="1" x14ac:dyDescent="0.35">
      <c r="A125" s="109">
        <v>122</v>
      </c>
      <c r="B125" s="110"/>
      <c r="C125" s="111"/>
      <c r="D125" s="112"/>
      <c r="E125" s="110"/>
      <c r="F125" s="113"/>
      <c r="G125" s="113"/>
      <c r="H125" s="114">
        <f t="shared" si="3"/>
        <v>0</v>
      </c>
      <c r="N125" s="45" t="str">
        <f t="shared" si="2"/>
        <v/>
      </c>
      <c r="O125" s="45">
        <v>10</v>
      </c>
    </row>
    <row r="126" spans="1:15" s="45" customFormat="1" ht="25" customHeight="1" x14ac:dyDescent="0.35">
      <c r="A126" s="109">
        <v>123</v>
      </c>
      <c r="B126" s="110"/>
      <c r="C126" s="111"/>
      <c r="D126" s="112"/>
      <c r="E126" s="110"/>
      <c r="F126" s="113"/>
      <c r="G126" s="113"/>
      <c r="H126" s="114">
        <f t="shared" si="3"/>
        <v>0</v>
      </c>
      <c r="N126" s="45" t="str">
        <f t="shared" si="2"/>
        <v/>
      </c>
      <c r="O126" s="45">
        <v>10</v>
      </c>
    </row>
    <row r="127" spans="1:15" s="45" customFormat="1" ht="25" customHeight="1" x14ac:dyDescent="0.35">
      <c r="A127" s="109">
        <v>124</v>
      </c>
      <c r="B127" s="110"/>
      <c r="C127" s="111"/>
      <c r="D127" s="112"/>
      <c r="E127" s="110"/>
      <c r="F127" s="113"/>
      <c r="G127" s="113"/>
      <c r="H127" s="114">
        <f t="shared" si="3"/>
        <v>0</v>
      </c>
      <c r="N127" s="45" t="str">
        <f t="shared" si="2"/>
        <v/>
      </c>
      <c r="O127" s="45">
        <v>10</v>
      </c>
    </row>
    <row r="128" spans="1:15" s="45" customFormat="1" ht="25" customHeight="1" x14ac:dyDescent="0.35">
      <c r="A128" s="109">
        <v>125</v>
      </c>
      <c r="B128" s="110"/>
      <c r="C128" s="111"/>
      <c r="D128" s="112"/>
      <c r="E128" s="110"/>
      <c r="F128" s="113"/>
      <c r="G128" s="113"/>
      <c r="H128" s="114">
        <f t="shared" si="3"/>
        <v>0</v>
      </c>
      <c r="N128" s="45" t="str">
        <f t="shared" si="2"/>
        <v/>
      </c>
      <c r="O128" s="45">
        <v>10</v>
      </c>
    </row>
    <row r="129" spans="1:15" s="45" customFormat="1" ht="25" customHeight="1" x14ac:dyDescent="0.35">
      <c r="A129" s="109">
        <v>126</v>
      </c>
      <c r="B129" s="110"/>
      <c r="C129" s="111"/>
      <c r="D129" s="112"/>
      <c r="E129" s="110"/>
      <c r="F129" s="113"/>
      <c r="G129" s="113"/>
      <c r="H129" s="114">
        <f t="shared" si="3"/>
        <v>0</v>
      </c>
      <c r="N129" s="45" t="str">
        <f t="shared" si="2"/>
        <v/>
      </c>
      <c r="O129" s="45">
        <v>10</v>
      </c>
    </row>
    <row r="130" spans="1:15" s="45" customFormat="1" ht="25" customHeight="1" x14ac:dyDescent="0.35">
      <c r="A130" s="109">
        <v>127</v>
      </c>
      <c r="B130" s="110"/>
      <c r="C130" s="111"/>
      <c r="D130" s="112"/>
      <c r="E130" s="110"/>
      <c r="F130" s="113"/>
      <c r="G130" s="113"/>
      <c r="H130" s="114">
        <f t="shared" si="3"/>
        <v>0</v>
      </c>
      <c r="N130" s="45" t="str">
        <f t="shared" si="2"/>
        <v/>
      </c>
      <c r="O130" s="45">
        <v>10</v>
      </c>
    </row>
    <row r="131" spans="1:15" s="45" customFormat="1" ht="25" customHeight="1" x14ac:dyDescent="0.35">
      <c r="A131" s="109">
        <v>128</v>
      </c>
      <c r="B131" s="110"/>
      <c r="C131" s="111"/>
      <c r="D131" s="112"/>
      <c r="E131" s="110"/>
      <c r="F131" s="113"/>
      <c r="G131" s="113"/>
      <c r="H131" s="114">
        <f t="shared" si="3"/>
        <v>0</v>
      </c>
      <c r="N131" s="45" t="str">
        <f t="shared" si="2"/>
        <v/>
      </c>
      <c r="O131" s="45">
        <v>10</v>
      </c>
    </row>
    <row r="132" spans="1:15" s="45" customFormat="1" ht="25" customHeight="1" x14ac:dyDescent="0.35">
      <c r="A132" s="109">
        <v>129</v>
      </c>
      <c r="B132" s="110"/>
      <c r="C132" s="111"/>
      <c r="D132" s="112"/>
      <c r="E132" s="110"/>
      <c r="F132" s="113"/>
      <c r="G132" s="113"/>
      <c r="H132" s="114">
        <f t="shared" si="3"/>
        <v>0</v>
      </c>
      <c r="N132" s="45" t="str">
        <f t="shared" si="2"/>
        <v/>
      </c>
      <c r="O132" s="45">
        <v>10</v>
      </c>
    </row>
    <row r="133" spans="1:15" s="45" customFormat="1" ht="25" customHeight="1" x14ac:dyDescent="0.35">
      <c r="A133" s="109">
        <v>130</v>
      </c>
      <c r="B133" s="110"/>
      <c r="C133" s="111"/>
      <c r="D133" s="112"/>
      <c r="E133" s="110"/>
      <c r="F133" s="113"/>
      <c r="G133" s="113"/>
      <c r="H133" s="114">
        <f t="shared" si="3"/>
        <v>0</v>
      </c>
      <c r="N133" s="45" t="str">
        <f t="shared" ref="N133:N196" si="4">IF(E133="","",TEXT(E133,"mmm-yyyy"))</f>
        <v/>
      </c>
      <c r="O133" s="45">
        <v>10</v>
      </c>
    </row>
    <row r="134" spans="1:15" s="45" customFormat="1" ht="25" customHeight="1" x14ac:dyDescent="0.35">
      <c r="A134" s="109">
        <v>131</v>
      </c>
      <c r="B134" s="110"/>
      <c r="C134" s="111"/>
      <c r="D134" s="112"/>
      <c r="E134" s="110"/>
      <c r="F134" s="113"/>
      <c r="G134" s="113"/>
      <c r="H134" s="114">
        <f t="shared" si="3"/>
        <v>0</v>
      </c>
      <c r="N134" s="45" t="str">
        <f t="shared" si="4"/>
        <v/>
      </c>
      <c r="O134" s="45">
        <v>10</v>
      </c>
    </row>
    <row r="135" spans="1:15" s="45" customFormat="1" ht="25" customHeight="1" x14ac:dyDescent="0.35">
      <c r="A135" s="109">
        <v>132</v>
      </c>
      <c r="B135" s="110"/>
      <c r="C135" s="111"/>
      <c r="D135" s="112"/>
      <c r="E135" s="110"/>
      <c r="F135" s="113"/>
      <c r="G135" s="113"/>
      <c r="H135" s="114">
        <f t="shared" si="3"/>
        <v>0</v>
      </c>
      <c r="N135" s="45" t="str">
        <f t="shared" si="4"/>
        <v/>
      </c>
      <c r="O135" s="45">
        <v>10</v>
      </c>
    </row>
    <row r="136" spans="1:15" s="45" customFormat="1" ht="25" customHeight="1" x14ac:dyDescent="0.35">
      <c r="A136" s="109">
        <v>133</v>
      </c>
      <c r="B136" s="110"/>
      <c r="C136" s="111"/>
      <c r="D136" s="112"/>
      <c r="E136" s="110"/>
      <c r="F136" s="113"/>
      <c r="G136" s="113"/>
      <c r="H136" s="114">
        <f t="shared" ref="H136:H199" si="5">G136-F136</f>
        <v>0</v>
      </c>
      <c r="N136" s="45" t="str">
        <f t="shared" si="4"/>
        <v/>
      </c>
      <c r="O136" s="45">
        <v>10</v>
      </c>
    </row>
    <row r="137" spans="1:15" s="45" customFormat="1" ht="25" customHeight="1" x14ac:dyDescent="0.35">
      <c r="A137" s="109">
        <v>134</v>
      </c>
      <c r="B137" s="110"/>
      <c r="C137" s="111"/>
      <c r="D137" s="112"/>
      <c r="E137" s="110"/>
      <c r="F137" s="113"/>
      <c r="G137" s="113"/>
      <c r="H137" s="114">
        <f t="shared" si="5"/>
        <v>0</v>
      </c>
      <c r="N137" s="45" t="str">
        <f t="shared" si="4"/>
        <v/>
      </c>
      <c r="O137" s="45">
        <v>10</v>
      </c>
    </row>
    <row r="138" spans="1:15" s="45" customFormat="1" ht="25" customHeight="1" x14ac:dyDescent="0.35">
      <c r="A138" s="109">
        <v>135</v>
      </c>
      <c r="B138" s="110"/>
      <c r="C138" s="111"/>
      <c r="D138" s="112"/>
      <c r="E138" s="110"/>
      <c r="F138" s="113"/>
      <c r="G138" s="113"/>
      <c r="H138" s="114">
        <f t="shared" si="5"/>
        <v>0</v>
      </c>
      <c r="N138" s="45" t="str">
        <f t="shared" si="4"/>
        <v/>
      </c>
      <c r="O138" s="45">
        <v>10</v>
      </c>
    </row>
    <row r="139" spans="1:15" s="45" customFormat="1" ht="25" customHeight="1" x14ac:dyDescent="0.35">
      <c r="A139" s="109">
        <v>136</v>
      </c>
      <c r="B139" s="110"/>
      <c r="C139" s="111"/>
      <c r="D139" s="112"/>
      <c r="E139" s="110"/>
      <c r="F139" s="113"/>
      <c r="G139" s="113"/>
      <c r="H139" s="114">
        <f t="shared" si="5"/>
        <v>0</v>
      </c>
      <c r="N139" s="45" t="str">
        <f t="shared" si="4"/>
        <v/>
      </c>
      <c r="O139" s="45">
        <v>10</v>
      </c>
    </row>
    <row r="140" spans="1:15" s="45" customFormat="1" ht="25" customHeight="1" x14ac:dyDescent="0.35">
      <c r="A140" s="109">
        <v>137</v>
      </c>
      <c r="B140" s="110"/>
      <c r="C140" s="111"/>
      <c r="D140" s="112"/>
      <c r="E140" s="110"/>
      <c r="F140" s="113"/>
      <c r="G140" s="113"/>
      <c r="H140" s="114">
        <f t="shared" si="5"/>
        <v>0</v>
      </c>
      <c r="N140" s="45" t="str">
        <f t="shared" si="4"/>
        <v/>
      </c>
      <c r="O140" s="45">
        <v>10</v>
      </c>
    </row>
    <row r="141" spans="1:15" s="45" customFormat="1" ht="25" customHeight="1" x14ac:dyDescent="0.35">
      <c r="A141" s="109">
        <v>138</v>
      </c>
      <c r="B141" s="110"/>
      <c r="C141" s="111"/>
      <c r="D141" s="112"/>
      <c r="E141" s="110"/>
      <c r="F141" s="113"/>
      <c r="G141" s="113"/>
      <c r="H141" s="114">
        <f t="shared" si="5"/>
        <v>0</v>
      </c>
      <c r="N141" s="45" t="str">
        <f t="shared" si="4"/>
        <v/>
      </c>
      <c r="O141" s="45">
        <v>10</v>
      </c>
    </row>
    <row r="142" spans="1:15" s="45" customFormat="1" ht="25" customHeight="1" x14ac:dyDescent="0.35">
      <c r="A142" s="109">
        <v>139</v>
      </c>
      <c r="B142" s="110"/>
      <c r="C142" s="111"/>
      <c r="D142" s="112"/>
      <c r="E142" s="110"/>
      <c r="F142" s="113"/>
      <c r="G142" s="113"/>
      <c r="H142" s="114">
        <f t="shared" si="5"/>
        <v>0</v>
      </c>
      <c r="N142" s="45" t="str">
        <f t="shared" si="4"/>
        <v/>
      </c>
      <c r="O142" s="45">
        <v>10</v>
      </c>
    </row>
    <row r="143" spans="1:15" s="45" customFormat="1" ht="25" customHeight="1" x14ac:dyDescent="0.35">
      <c r="A143" s="109">
        <v>140</v>
      </c>
      <c r="B143" s="110"/>
      <c r="C143" s="111"/>
      <c r="D143" s="112"/>
      <c r="E143" s="110"/>
      <c r="F143" s="113"/>
      <c r="G143" s="113"/>
      <c r="H143" s="114">
        <f t="shared" si="5"/>
        <v>0</v>
      </c>
      <c r="N143" s="45" t="str">
        <f t="shared" si="4"/>
        <v/>
      </c>
      <c r="O143" s="45">
        <v>10</v>
      </c>
    </row>
    <row r="144" spans="1:15" s="45" customFormat="1" ht="25" customHeight="1" x14ac:dyDescent="0.35">
      <c r="A144" s="109">
        <v>141</v>
      </c>
      <c r="B144" s="110"/>
      <c r="C144" s="111"/>
      <c r="D144" s="112"/>
      <c r="E144" s="110"/>
      <c r="F144" s="113"/>
      <c r="G144" s="113"/>
      <c r="H144" s="114">
        <f t="shared" si="5"/>
        <v>0</v>
      </c>
      <c r="N144" s="45" t="str">
        <f t="shared" si="4"/>
        <v/>
      </c>
      <c r="O144" s="45">
        <v>10</v>
      </c>
    </row>
    <row r="145" spans="1:15" s="45" customFormat="1" ht="25" customHeight="1" x14ac:dyDescent="0.35">
      <c r="A145" s="109">
        <v>142</v>
      </c>
      <c r="B145" s="110"/>
      <c r="C145" s="111"/>
      <c r="D145" s="112"/>
      <c r="E145" s="110"/>
      <c r="F145" s="113"/>
      <c r="G145" s="113"/>
      <c r="H145" s="114">
        <f t="shared" si="5"/>
        <v>0</v>
      </c>
      <c r="N145" s="45" t="str">
        <f t="shared" si="4"/>
        <v/>
      </c>
      <c r="O145" s="45">
        <v>10</v>
      </c>
    </row>
    <row r="146" spans="1:15" s="45" customFormat="1" ht="25" customHeight="1" x14ac:dyDescent="0.35">
      <c r="A146" s="109">
        <v>143</v>
      </c>
      <c r="B146" s="110"/>
      <c r="C146" s="111"/>
      <c r="D146" s="112"/>
      <c r="E146" s="110"/>
      <c r="F146" s="113"/>
      <c r="G146" s="113"/>
      <c r="H146" s="114">
        <f t="shared" si="5"/>
        <v>0</v>
      </c>
      <c r="N146" s="45" t="str">
        <f t="shared" si="4"/>
        <v/>
      </c>
      <c r="O146" s="45">
        <v>10</v>
      </c>
    </row>
    <row r="147" spans="1:15" s="45" customFormat="1" ht="25" customHeight="1" x14ac:dyDescent="0.35">
      <c r="A147" s="109">
        <v>144</v>
      </c>
      <c r="B147" s="110"/>
      <c r="C147" s="111"/>
      <c r="D147" s="112"/>
      <c r="E147" s="110"/>
      <c r="F147" s="113"/>
      <c r="G147" s="113"/>
      <c r="H147" s="114">
        <f t="shared" si="5"/>
        <v>0</v>
      </c>
      <c r="N147" s="45" t="str">
        <f t="shared" si="4"/>
        <v/>
      </c>
      <c r="O147" s="45">
        <v>10</v>
      </c>
    </row>
    <row r="148" spans="1:15" s="45" customFormat="1" ht="25" customHeight="1" x14ac:dyDescent="0.35">
      <c r="A148" s="109">
        <v>145</v>
      </c>
      <c r="B148" s="110"/>
      <c r="C148" s="111"/>
      <c r="D148" s="112"/>
      <c r="E148" s="110"/>
      <c r="F148" s="113"/>
      <c r="G148" s="113"/>
      <c r="H148" s="114">
        <f t="shared" si="5"/>
        <v>0</v>
      </c>
      <c r="N148" s="45" t="str">
        <f t="shared" si="4"/>
        <v/>
      </c>
      <c r="O148" s="45">
        <v>10</v>
      </c>
    </row>
    <row r="149" spans="1:15" s="45" customFormat="1" ht="25" customHeight="1" x14ac:dyDescent="0.35">
      <c r="A149" s="109">
        <v>146</v>
      </c>
      <c r="B149" s="110"/>
      <c r="C149" s="111"/>
      <c r="D149" s="112"/>
      <c r="E149" s="110"/>
      <c r="F149" s="113"/>
      <c r="G149" s="113"/>
      <c r="H149" s="114">
        <f t="shared" si="5"/>
        <v>0</v>
      </c>
      <c r="N149" s="45" t="str">
        <f t="shared" si="4"/>
        <v/>
      </c>
      <c r="O149" s="45">
        <v>10</v>
      </c>
    </row>
    <row r="150" spans="1:15" s="45" customFormat="1" ht="25" customHeight="1" x14ac:dyDescent="0.35">
      <c r="A150" s="109">
        <v>147</v>
      </c>
      <c r="B150" s="110"/>
      <c r="C150" s="111"/>
      <c r="D150" s="112"/>
      <c r="E150" s="110"/>
      <c r="F150" s="113"/>
      <c r="G150" s="113"/>
      <c r="H150" s="114">
        <f t="shared" si="5"/>
        <v>0</v>
      </c>
      <c r="N150" s="45" t="str">
        <f t="shared" si="4"/>
        <v/>
      </c>
      <c r="O150" s="45">
        <v>10</v>
      </c>
    </row>
    <row r="151" spans="1:15" s="45" customFormat="1" ht="25" customHeight="1" x14ac:dyDescent="0.35">
      <c r="A151" s="109">
        <v>148</v>
      </c>
      <c r="B151" s="110"/>
      <c r="C151" s="111"/>
      <c r="D151" s="112"/>
      <c r="E151" s="110"/>
      <c r="F151" s="113"/>
      <c r="G151" s="113"/>
      <c r="H151" s="114">
        <f t="shared" si="5"/>
        <v>0</v>
      </c>
      <c r="N151" s="45" t="str">
        <f t="shared" si="4"/>
        <v/>
      </c>
      <c r="O151" s="45">
        <v>10</v>
      </c>
    </row>
    <row r="152" spans="1:15" s="45" customFormat="1" ht="25" customHeight="1" x14ac:dyDescent="0.35">
      <c r="A152" s="109">
        <v>149</v>
      </c>
      <c r="B152" s="110"/>
      <c r="C152" s="111"/>
      <c r="D152" s="112"/>
      <c r="E152" s="110"/>
      <c r="F152" s="113"/>
      <c r="G152" s="113"/>
      <c r="H152" s="114">
        <f t="shared" si="5"/>
        <v>0</v>
      </c>
      <c r="N152" s="45" t="str">
        <f t="shared" si="4"/>
        <v/>
      </c>
      <c r="O152" s="45">
        <v>10</v>
      </c>
    </row>
    <row r="153" spans="1:15" s="45" customFormat="1" ht="25" customHeight="1" x14ac:dyDescent="0.35">
      <c r="A153" s="109">
        <v>150</v>
      </c>
      <c r="B153" s="110"/>
      <c r="C153" s="111"/>
      <c r="D153" s="112"/>
      <c r="E153" s="110"/>
      <c r="F153" s="113"/>
      <c r="G153" s="113"/>
      <c r="H153" s="114">
        <f t="shared" si="5"/>
        <v>0</v>
      </c>
      <c r="N153" s="45" t="str">
        <f t="shared" si="4"/>
        <v/>
      </c>
      <c r="O153" s="45">
        <v>10</v>
      </c>
    </row>
    <row r="154" spans="1:15" s="45" customFormat="1" ht="25" customHeight="1" x14ac:dyDescent="0.35">
      <c r="A154" s="109">
        <v>151</v>
      </c>
      <c r="B154" s="110"/>
      <c r="C154" s="111"/>
      <c r="D154" s="112"/>
      <c r="E154" s="110"/>
      <c r="F154" s="113"/>
      <c r="G154" s="113"/>
      <c r="H154" s="114">
        <f t="shared" si="5"/>
        <v>0</v>
      </c>
      <c r="N154" s="45" t="str">
        <f t="shared" si="4"/>
        <v/>
      </c>
      <c r="O154" s="45">
        <v>10</v>
      </c>
    </row>
    <row r="155" spans="1:15" s="45" customFormat="1" ht="25" customHeight="1" x14ac:dyDescent="0.35">
      <c r="A155" s="109">
        <v>152</v>
      </c>
      <c r="B155" s="110"/>
      <c r="C155" s="111"/>
      <c r="D155" s="112"/>
      <c r="E155" s="110"/>
      <c r="F155" s="113"/>
      <c r="G155" s="113"/>
      <c r="H155" s="114">
        <f t="shared" si="5"/>
        <v>0</v>
      </c>
      <c r="N155" s="45" t="str">
        <f t="shared" si="4"/>
        <v/>
      </c>
      <c r="O155" s="45">
        <v>10</v>
      </c>
    </row>
    <row r="156" spans="1:15" s="45" customFormat="1" ht="25" customHeight="1" x14ac:dyDescent="0.35">
      <c r="A156" s="109">
        <v>153</v>
      </c>
      <c r="B156" s="110"/>
      <c r="C156" s="111"/>
      <c r="D156" s="112"/>
      <c r="E156" s="110"/>
      <c r="F156" s="113"/>
      <c r="G156" s="113"/>
      <c r="H156" s="114">
        <f t="shared" si="5"/>
        <v>0</v>
      </c>
      <c r="N156" s="45" t="str">
        <f t="shared" si="4"/>
        <v/>
      </c>
      <c r="O156" s="45">
        <v>10</v>
      </c>
    </row>
    <row r="157" spans="1:15" s="45" customFormat="1" ht="25" customHeight="1" x14ac:dyDescent="0.35">
      <c r="A157" s="109">
        <v>154</v>
      </c>
      <c r="B157" s="110"/>
      <c r="C157" s="111"/>
      <c r="D157" s="112"/>
      <c r="E157" s="110"/>
      <c r="F157" s="113"/>
      <c r="G157" s="113"/>
      <c r="H157" s="114">
        <f t="shared" si="5"/>
        <v>0</v>
      </c>
      <c r="N157" s="45" t="str">
        <f t="shared" si="4"/>
        <v/>
      </c>
      <c r="O157" s="45">
        <v>10</v>
      </c>
    </row>
    <row r="158" spans="1:15" s="45" customFormat="1" ht="25" customHeight="1" x14ac:dyDescent="0.35">
      <c r="A158" s="109">
        <v>155</v>
      </c>
      <c r="B158" s="110"/>
      <c r="C158" s="111"/>
      <c r="D158" s="112"/>
      <c r="E158" s="110"/>
      <c r="F158" s="113"/>
      <c r="G158" s="113"/>
      <c r="H158" s="114">
        <f t="shared" si="5"/>
        <v>0</v>
      </c>
      <c r="N158" s="45" t="str">
        <f t="shared" si="4"/>
        <v/>
      </c>
      <c r="O158" s="45">
        <v>10</v>
      </c>
    </row>
    <row r="159" spans="1:15" s="45" customFormat="1" ht="25" customHeight="1" x14ac:dyDescent="0.35">
      <c r="A159" s="109">
        <v>156</v>
      </c>
      <c r="B159" s="110"/>
      <c r="C159" s="111"/>
      <c r="D159" s="112"/>
      <c r="E159" s="110"/>
      <c r="F159" s="113"/>
      <c r="G159" s="113"/>
      <c r="H159" s="114">
        <f t="shared" si="5"/>
        <v>0</v>
      </c>
      <c r="N159" s="45" t="str">
        <f t="shared" si="4"/>
        <v/>
      </c>
      <c r="O159" s="45">
        <v>10</v>
      </c>
    </row>
    <row r="160" spans="1:15" s="45" customFormat="1" ht="25" customHeight="1" x14ac:dyDescent="0.35">
      <c r="A160" s="109">
        <v>157</v>
      </c>
      <c r="B160" s="110"/>
      <c r="C160" s="111"/>
      <c r="D160" s="112"/>
      <c r="E160" s="110"/>
      <c r="F160" s="113"/>
      <c r="G160" s="113"/>
      <c r="H160" s="114">
        <f t="shared" si="5"/>
        <v>0</v>
      </c>
      <c r="N160" s="45" t="str">
        <f t="shared" si="4"/>
        <v/>
      </c>
      <c r="O160" s="45">
        <v>10</v>
      </c>
    </row>
    <row r="161" spans="1:15" s="45" customFormat="1" ht="25" customHeight="1" x14ac:dyDescent="0.35">
      <c r="A161" s="109">
        <v>158</v>
      </c>
      <c r="B161" s="110"/>
      <c r="C161" s="111"/>
      <c r="D161" s="112"/>
      <c r="E161" s="110"/>
      <c r="F161" s="113"/>
      <c r="G161" s="113"/>
      <c r="H161" s="114">
        <f t="shared" si="5"/>
        <v>0</v>
      </c>
      <c r="N161" s="45" t="str">
        <f t="shared" si="4"/>
        <v/>
      </c>
      <c r="O161" s="45">
        <v>10</v>
      </c>
    </row>
    <row r="162" spans="1:15" s="45" customFormat="1" ht="25" customHeight="1" x14ac:dyDescent="0.35">
      <c r="A162" s="109">
        <v>159</v>
      </c>
      <c r="B162" s="110"/>
      <c r="C162" s="111"/>
      <c r="D162" s="112"/>
      <c r="E162" s="110"/>
      <c r="F162" s="113"/>
      <c r="G162" s="113"/>
      <c r="H162" s="114">
        <f t="shared" si="5"/>
        <v>0</v>
      </c>
      <c r="N162" s="45" t="str">
        <f t="shared" si="4"/>
        <v/>
      </c>
      <c r="O162" s="45">
        <v>10</v>
      </c>
    </row>
    <row r="163" spans="1:15" s="45" customFormat="1" ht="25" customHeight="1" x14ac:dyDescent="0.35">
      <c r="A163" s="109">
        <v>160</v>
      </c>
      <c r="B163" s="110"/>
      <c r="C163" s="111"/>
      <c r="D163" s="112"/>
      <c r="E163" s="110"/>
      <c r="F163" s="113"/>
      <c r="G163" s="113"/>
      <c r="H163" s="114">
        <f t="shared" si="5"/>
        <v>0</v>
      </c>
      <c r="N163" s="45" t="str">
        <f t="shared" si="4"/>
        <v/>
      </c>
      <c r="O163" s="45">
        <v>10</v>
      </c>
    </row>
    <row r="164" spans="1:15" s="45" customFormat="1" ht="25" customHeight="1" x14ac:dyDescent="0.35">
      <c r="A164" s="109">
        <v>161</v>
      </c>
      <c r="B164" s="110"/>
      <c r="C164" s="111"/>
      <c r="D164" s="112"/>
      <c r="E164" s="110"/>
      <c r="F164" s="113"/>
      <c r="G164" s="113"/>
      <c r="H164" s="114">
        <f t="shared" si="5"/>
        <v>0</v>
      </c>
      <c r="N164" s="45" t="str">
        <f t="shared" si="4"/>
        <v/>
      </c>
      <c r="O164" s="45">
        <v>10</v>
      </c>
    </row>
    <row r="165" spans="1:15" s="45" customFormat="1" ht="25" customHeight="1" x14ac:dyDescent="0.35">
      <c r="A165" s="109">
        <v>162</v>
      </c>
      <c r="B165" s="110"/>
      <c r="C165" s="111"/>
      <c r="D165" s="112"/>
      <c r="E165" s="110"/>
      <c r="F165" s="113"/>
      <c r="G165" s="113"/>
      <c r="H165" s="114">
        <f t="shared" si="5"/>
        <v>0</v>
      </c>
      <c r="N165" s="45" t="str">
        <f t="shared" si="4"/>
        <v/>
      </c>
      <c r="O165" s="45">
        <v>10</v>
      </c>
    </row>
    <row r="166" spans="1:15" s="45" customFormat="1" ht="25" customHeight="1" x14ac:dyDescent="0.35">
      <c r="A166" s="109">
        <v>163</v>
      </c>
      <c r="B166" s="110"/>
      <c r="C166" s="111"/>
      <c r="D166" s="112"/>
      <c r="E166" s="110"/>
      <c r="F166" s="113"/>
      <c r="G166" s="113"/>
      <c r="H166" s="114">
        <f t="shared" si="5"/>
        <v>0</v>
      </c>
      <c r="N166" s="45" t="str">
        <f t="shared" si="4"/>
        <v/>
      </c>
      <c r="O166" s="45">
        <v>10</v>
      </c>
    </row>
    <row r="167" spans="1:15" s="45" customFormat="1" ht="25" customHeight="1" x14ac:dyDescent="0.35">
      <c r="A167" s="109">
        <v>164</v>
      </c>
      <c r="B167" s="110"/>
      <c r="C167" s="111"/>
      <c r="D167" s="112"/>
      <c r="E167" s="110"/>
      <c r="F167" s="113"/>
      <c r="G167" s="113"/>
      <c r="H167" s="114">
        <f t="shared" si="5"/>
        <v>0</v>
      </c>
      <c r="N167" s="45" t="str">
        <f t="shared" si="4"/>
        <v/>
      </c>
      <c r="O167" s="45">
        <v>10</v>
      </c>
    </row>
    <row r="168" spans="1:15" s="45" customFormat="1" ht="25" customHeight="1" x14ac:dyDescent="0.35">
      <c r="A168" s="109">
        <v>165</v>
      </c>
      <c r="B168" s="110"/>
      <c r="C168" s="111"/>
      <c r="D168" s="112"/>
      <c r="E168" s="110"/>
      <c r="F168" s="113"/>
      <c r="G168" s="113"/>
      <c r="H168" s="114">
        <f t="shared" si="5"/>
        <v>0</v>
      </c>
      <c r="N168" s="45" t="str">
        <f t="shared" si="4"/>
        <v/>
      </c>
      <c r="O168" s="45">
        <v>10</v>
      </c>
    </row>
    <row r="169" spans="1:15" s="45" customFormat="1" ht="25" customHeight="1" x14ac:dyDescent="0.35">
      <c r="A169" s="109">
        <v>166</v>
      </c>
      <c r="B169" s="110"/>
      <c r="C169" s="111"/>
      <c r="D169" s="112"/>
      <c r="E169" s="110"/>
      <c r="F169" s="113"/>
      <c r="G169" s="113"/>
      <c r="H169" s="114">
        <f t="shared" si="5"/>
        <v>0</v>
      </c>
      <c r="N169" s="45" t="str">
        <f t="shared" si="4"/>
        <v/>
      </c>
      <c r="O169" s="45">
        <v>10</v>
      </c>
    </row>
    <row r="170" spans="1:15" s="45" customFormat="1" ht="25" customHeight="1" x14ac:dyDescent="0.35">
      <c r="A170" s="109">
        <v>167</v>
      </c>
      <c r="B170" s="110"/>
      <c r="C170" s="111"/>
      <c r="D170" s="112"/>
      <c r="E170" s="110"/>
      <c r="F170" s="113"/>
      <c r="G170" s="113"/>
      <c r="H170" s="114">
        <f t="shared" si="5"/>
        <v>0</v>
      </c>
      <c r="N170" s="45" t="str">
        <f t="shared" si="4"/>
        <v/>
      </c>
      <c r="O170" s="45">
        <v>10</v>
      </c>
    </row>
    <row r="171" spans="1:15" s="45" customFormat="1" ht="25" customHeight="1" x14ac:dyDescent="0.35">
      <c r="A171" s="109">
        <v>168</v>
      </c>
      <c r="B171" s="110"/>
      <c r="C171" s="111"/>
      <c r="D171" s="112"/>
      <c r="E171" s="110"/>
      <c r="F171" s="113"/>
      <c r="G171" s="113"/>
      <c r="H171" s="114">
        <f t="shared" si="5"/>
        <v>0</v>
      </c>
      <c r="N171" s="45" t="str">
        <f t="shared" si="4"/>
        <v/>
      </c>
      <c r="O171" s="45">
        <v>10</v>
      </c>
    </row>
    <row r="172" spans="1:15" s="45" customFormat="1" ht="25" customHeight="1" x14ac:dyDescent="0.35">
      <c r="A172" s="109">
        <v>169</v>
      </c>
      <c r="B172" s="110"/>
      <c r="C172" s="111"/>
      <c r="D172" s="112"/>
      <c r="E172" s="110"/>
      <c r="F172" s="113"/>
      <c r="G172" s="113"/>
      <c r="H172" s="114">
        <f t="shared" si="5"/>
        <v>0</v>
      </c>
      <c r="N172" s="45" t="str">
        <f t="shared" si="4"/>
        <v/>
      </c>
      <c r="O172" s="45">
        <v>10</v>
      </c>
    </row>
    <row r="173" spans="1:15" s="45" customFormat="1" ht="25" customHeight="1" x14ac:dyDescent="0.35">
      <c r="A173" s="109">
        <v>170</v>
      </c>
      <c r="B173" s="110"/>
      <c r="C173" s="111"/>
      <c r="D173" s="112"/>
      <c r="E173" s="110"/>
      <c r="F173" s="113"/>
      <c r="G173" s="113"/>
      <c r="H173" s="114">
        <f t="shared" si="5"/>
        <v>0</v>
      </c>
      <c r="N173" s="45" t="str">
        <f t="shared" si="4"/>
        <v/>
      </c>
      <c r="O173" s="45">
        <v>10</v>
      </c>
    </row>
    <row r="174" spans="1:15" s="45" customFormat="1" ht="25" customHeight="1" x14ac:dyDescent="0.35">
      <c r="A174" s="109">
        <v>171</v>
      </c>
      <c r="B174" s="110"/>
      <c r="C174" s="111"/>
      <c r="D174" s="112"/>
      <c r="E174" s="110"/>
      <c r="F174" s="113"/>
      <c r="G174" s="113"/>
      <c r="H174" s="114">
        <f t="shared" si="5"/>
        <v>0</v>
      </c>
      <c r="N174" s="45" t="str">
        <f t="shared" si="4"/>
        <v/>
      </c>
      <c r="O174" s="45">
        <v>10</v>
      </c>
    </row>
    <row r="175" spans="1:15" s="45" customFormat="1" ht="25" customHeight="1" x14ac:dyDescent="0.35">
      <c r="A175" s="109">
        <v>172</v>
      </c>
      <c r="B175" s="110"/>
      <c r="C175" s="111"/>
      <c r="D175" s="112"/>
      <c r="E175" s="110"/>
      <c r="F175" s="113"/>
      <c r="G175" s="113"/>
      <c r="H175" s="114">
        <f t="shared" si="5"/>
        <v>0</v>
      </c>
      <c r="N175" s="45" t="str">
        <f t="shared" si="4"/>
        <v/>
      </c>
      <c r="O175" s="45">
        <v>10</v>
      </c>
    </row>
    <row r="176" spans="1:15" s="45" customFormat="1" ht="25" customHeight="1" x14ac:dyDescent="0.35">
      <c r="A176" s="109">
        <v>173</v>
      </c>
      <c r="B176" s="110"/>
      <c r="C176" s="111"/>
      <c r="D176" s="112"/>
      <c r="E176" s="110"/>
      <c r="F176" s="113"/>
      <c r="G176" s="113"/>
      <c r="H176" s="114">
        <f t="shared" si="5"/>
        <v>0</v>
      </c>
      <c r="N176" s="45" t="str">
        <f t="shared" si="4"/>
        <v/>
      </c>
      <c r="O176" s="45">
        <v>10</v>
      </c>
    </row>
    <row r="177" spans="1:15" s="45" customFormat="1" ht="25" customHeight="1" x14ac:dyDescent="0.35">
      <c r="A177" s="109">
        <v>174</v>
      </c>
      <c r="B177" s="110"/>
      <c r="C177" s="111"/>
      <c r="D177" s="112"/>
      <c r="E177" s="110"/>
      <c r="F177" s="113"/>
      <c r="G177" s="113"/>
      <c r="H177" s="114">
        <f t="shared" si="5"/>
        <v>0</v>
      </c>
      <c r="N177" s="45" t="str">
        <f t="shared" si="4"/>
        <v/>
      </c>
      <c r="O177" s="45">
        <v>10</v>
      </c>
    </row>
    <row r="178" spans="1:15" s="45" customFormat="1" ht="25" customHeight="1" x14ac:dyDescent="0.35">
      <c r="A178" s="109">
        <v>175</v>
      </c>
      <c r="B178" s="110"/>
      <c r="C178" s="111"/>
      <c r="D178" s="112"/>
      <c r="E178" s="110"/>
      <c r="F178" s="113"/>
      <c r="G178" s="113"/>
      <c r="H178" s="114">
        <f t="shared" si="5"/>
        <v>0</v>
      </c>
      <c r="N178" s="45" t="str">
        <f t="shared" si="4"/>
        <v/>
      </c>
      <c r="O178" s="45">
        <v>10</v>
      </c>
    </row>
    <row r="179" spans="1:15" s="45" customFormat="1" ht="25" customHeight="1" x14ac:dyDescent="0.35">
      <c r="A179" s="109">
        <v>176</v>
      </c>
      <c r="B179" s="110"/>
      <c r="C179" s="111"/>
      <c r="D179" s="112"/>
      <c r="E179" s="110"/>
      <c r="F179" s="113"/>
      <c r="G179" s="113"/>
      <c r="H179" s="114">
        <f t="shared" si="5"/>
        <v>0</v>
      </c>
      <c r="N179" s="45" t="str">
        <f t="shared" si="4"/>
        <v/>
      </c>
      <c r="O179" s="45">
        <v>10</v>
      </c>
    </row>
    <row r="180" spans="1:15" s="45" customFormat="1" ht="25" customHeight="1" x14ac:dyDescent="0.35">
      <c r="A180" s="109">
        <v>177</v>
      </c>
      <c r="B180" s="110"/>
      <c r="C180" s="111"/>
      <c r="D180" s="112"/>
      <c r="E180" s="110"/>
      <c r="F180" s="113"/>
      <c r="G180" s="113"/>
      <c r="H180" s="114">
        <f t="shared" si="5"/>
        <v>0</v>
      </c>
      <c r="N180" s="45" t="str">
        <f t="shared" si="4"/>
        <v/>
      </c>
      <c r="O180" s="45">
        <v>10</v>
      </c>
    </row>
    <row r="181" spans="1:15" s="45" customFormat="1" ht="25" customHeight="1" x14ac:dyDescent="0.35">
      <c r="A181" s="109">
        <v>178</v>
      </c>
      <c r="B181" s="110"/>
      <c r="C181" s="111"/>
      <c r="D181" s="112"/>
      <c r="E181" s="110"/>
      <c r="F181" s="113"/>
      <c r="G181" s="113"/>
      <c r="H181" s="114">
        <f t="shared" si="5"/>
        <v>0</v>
      </c>
      <c r="N181" s="45" t="str">
        <f t="shared" si="4"/>
        <v/>
      </c>
      <c r="O181" s="45">
        <v>10</v>
      </c>
    </row>
    <row r="182" spans="1:15" s="45" customFormat="1" ht="25" customHeight="1" x14ac:dyDescent="0.35">
      <c r="A182" s="109">
        <v>179</v>
      </c>
      <c r="B182" s="110"/>
      <c r="C182" s="111"/>
      <c r="D182" s="112"/>
      <c r="E182" s="110"/>
      <c r="F182" s="113"/>
      <c r="G182" s="113"/>
      <c r="H182" s="114">
        <f t="shared" si="5"/>
        <v>0</v>
      </c>
      <c r="N182" s="45" t="str">
        <f t="shared" si="4"/>
        <v/>
      </c>
      <c r="O182" s="45">
        <v>10</v>
      </c>
    </row>
    <row r="183" spans="1:15" s="45" customFormat="1" ht="25" customHeight="1" x14ac:dyDescent="0.35">
      <c r="A183" s="109">
        <v>180</v>
      </c>
      <c r="B183" s="110"/>
      <c r="C183" s="111"/>
      <c r="D183" s="112"/>
      <c r="E183" s="110"/>
      <c r="F183" s="113"/>
      <c r="G183" s="113"/>
      <c r="H183" s="114">
        <f t="shared" si="5"/>
        <v>0</v>
      </c>
      <c r="N183" s="45" t="str">
        <f t="shared" si="4"/>
        <v/>
      </c>
      <c r="O183" s="45">
        <v>10</v>
      </c>
    </row>
    <row r="184" spans="1:15" s="45" customFormat="1" ht="25" customHeight="1" x14ac:dyDescent="0.35">
      <c r="A184" s="109">
        <v>181</v>
      </c>
      <c r="B184" s="110"/>
      <c r="C184" s="111"/>
      <c r="D184" s="112"/>
      <c r="E184" s="110"/>
      <c r="F184" s="113"/>
      <c r="G184" s="113"/>
      <c r="H184" s="114">
        <f t="shared" si="5"/>
        <v>0</v>
      </c>
      <c r="N184" s="45" t="str">
        <f t="shared" si="4"/>
        <v/>
      </c>
      <c r="O184" s="45">
        <v>10</v>
      </c>
    </row>
    <row r="185" spans="1:15" s="45" customFormat="1" ht="25" customHeight="1" x14ac:dyDescent="0.35">
      <c r="A185" s="109">
        <v>182</v>
      </c>
      <c r="B185" s="110"/>
      <c r="C185" s="111"/>
      <c r="D185" s="112"/>
      <c r="E185" s="110"/>
      <c r="F185" s="113"/>
      <c r="G185" s="113"/>
      <c r="H185" s="114">
        <f t="shared" si="5"/>
        <v>0</v>
      </c>
      <c r="N185" s="45" t="str">
        <f t="shared" si="4"/>
        <v/>
      </c>
      <c r="O185" s="45">
        <v>10</v>
      </c>
    </row>
    <row r="186" spans="1:15" s="45" customFormat="1" ht="25" customHeight="1" x14ac:dyDescent="0.35">
      <c r="A186" s="109">
        <v>183</v>
      </c>
      <c r="B186" s="110"/>
      <c r="C186" s="111"/>
      <c r="D186" s="112"/>
      <c r="E186" s="110"/>
      <c r="F186" s="113"/>
      <c r="G186" s="113"/>
      <c r="H186" s="114">
        <f t="shared" si="5"/>
        <v>0</v>
      </c>
      <c r="N186" s="45" t="str">
        <f t="shared" si="4"/>
        <v/>
      </c>
      <c r="O186" s="45">
        <v>10</v>
      </c>
    </row>
    <row r="187" spans="1:15" s="45" customFormat="1" ht="25" customHeight="1" x14ac:dyDescent="0.35">
      <c r="A187" s="109">
        <v>184</v>
      </c>
      <c r="B187" s="110"/>
      <c r="C187" s="111"/>
      <c r="D187" s="112"/>
      <c r="E187" s="110"/>
      <c r="F187" s="113"/>
      <c r="G187" s="113"/>
      <c r="H187" s="114">
        <f t="shared" si="5"/>
        <v>0</v>
      </c>
      <c r="N187" s="45" t="str">
        <f t="shared" si="4"/>
        <v/>
      </c>
      <c r="O187" s="45">
        <v>10</v>
      </c>
    </row>
    <row r="188" spans="1:15" s="45" customFormat="1" ht="25" customHeight="1" x14ac:dyDescent="0.35">
      <c r="A188" s="109">
        <v>185</v>
      </c>
      <c r="B188" s="110"/>
      <c r="C188" s="111"/>
      <c r="D188" s="112"/>
      <c r="E188" s="110"/>
      <c r="F188" s="113"/>
      <c r="G188" s="113"/>
      <c r="H188" s="114">
        <f t="shared" si="5"/>
        <v>0</v>
      </c>
      <c r="N188" s="45" t="str">
        <f t="shared" si="4"/>
        <v/>
      </c>
      <c r="O188" s="45">
        <v>10</v>
      </c>
    </row>
    <row r="189" spans="1:15" s="45" customFormat="1" ht="25" customHeight="1" x14ac:dyDescent="0.35">
      <c r="A189" s="109">
        <v>186</v>
      </c>
      <c r="B189" s="110"/>
      <c r="C189" s="111"/>
      <c r="D189" s="112"/>
      <c r="E189" s="110"/>
      <c r="F189" s="113"/>
      <c r="G189" s="113"/>
      <c r="H189" s="114">
        <f t="shared" si="5"/>
        <v>0</v>
      </c>
      <c r="N189" s="45" t="str">
        <f t="shared" si="4"/>
        <v/>
      </c>
      <c r="O189" s="45">
        <v>10</v>
      </c>
    </row>
    <row r="190" spans="1:15" s="45" customFormat="1" ht="25" customHeight="1" x14ac:dyDescent="0.35">
      <c r="A190" s="109">
        <v>187</v>
      </c>
      <c r="B190" s="110"/>
      <c r="C190" s="111"/>
      <c r="D190" s="112"/>
      <c r="E190" s="110"/>
      <c r="F190" s="113"/>
      <c r="G190" s="113"/>
      <c r="H190" s="114">
        <f t="shared" si="5"/>
        <v>0</v>
      </c>
      <c r="N190" s="45" t="str">
        <f t="shared" si="4"/>
        <v/>
      </c>
      <c r="O190" s="45">
        <v>10</v>
      </c>
    </row>
    <row r="191" spans="1:15" s="45" customFormat="1" ht="25" customHeight="1" x14ac:dyDescent="0.35">
      <c r="A191" s="109">
        <v>188</v>
      </c>
      <c r="B191" s="110"/>
      <c r="C191" s="111"/>
      <c r="D191" s="112"/>
      <c r="E191" s="110"/>
      <c r="F191" s="113"/>
      <c r="G191" s="113"/>
      <c r="H191" s="114">
        <f t="shared" si="5"/>
        <v>0</v>
      </c>
      <c r="N191" s="45" t="str">
        <f t="shared" si="4"/>
        <v/>
      </c>
      <c r="O191" s="45">
        <v>10</v>
      </c>
    </row>
    <row r="192" spans="1:15" s="45" customFormat="1" ht="25" customHeight="1" x14ac:dyDescent="0.35">
      <c r="A192" s="109">
        <v>189</v>
      </c>
      <c r="B192" s="110"/>
      <c r="C192" s="111"/>
      <c r="D192" s="112"/>
      <c r="E192" s="110"/>
      <c r="F192" s="113"/>
      <c r="G192" s="113"/>
      <c r="H192" s="114">
        <f t="shared" si="5"/>
        <v>0</v>
      </c>
      <c r="N192" s="45" t="str">
        <f t="shared" si="4"/>
        <v/>
      </c>
      <c r="O192" s="45">
        <v>10</v>
      </c>
    </row>
    <row r="193" spans="1:15" s="45" customFormat="1" ht="25" customHeight="1" x14ac:dyDescent="0.35">
      <c r="A193" s="109">
        <v>190</v>
      </c>
      <c r="B193" s="110"/>
      <c r="C193" s="111"/>
      <c r="D193" s="112"/>
      <c r="E193" s="110"/>
      <c r="F193" s="113"/>
      <c r="G193" s="113"/>
      <c r="H193" s="114">
        <f t="shared" si="5"/>
        <v>0</v>
      </c>
      <c r="N193" s="45" t="str">
        <f t="shared" si="4"/>
        <v/>
      </c>
      <c r="O193" s="45">
        <v>10</v>
      </c>
    </row>
    <row r="194" spans="1:15" s="45" customFormat="1" ht="25" customHeight="1" x14ac:dyDescent="0.35">
      <c r="A194" s="109">
        <v>191</v>
      </c>
      <c r="B194" s="110"/>
      <c r="C194" s="111"/>
      <c r="D194" s="112"/>
      <c r="E194" s="110"/>
      <c r="F194" s="113"/>
      <c r="G194" s="113"/>
      <c r="H194" s="114">
        <f t="shared" si="5"/>
        <v>0</v>
      </c>
      <c r="N194" s="45" t="str">
        <f t="shared" si="4"/>
        <v/>
      </c>
      <c r="O194" s="45">
        <v>10</v>
      </c>
    </row>
    <row r="195" spans="1:15" s="45" customFormat="1" ht="25" customHeight="1" x14ac:dyDescent="0.35">
      <c r="A195" s="109">
        <v>192</v>
      </c>
      <c r="B195" s="110"/>
      <c r="C195" s="111"/>
      <c r="D195" s="112"/>
      <c r="E195" s="110"/>
      <c r="F195" s="113"/>
      <c r="G195" s="113"/>
      <c r="H195" s="114">
        <f t="shared" si="5"/>
        <v>0</v>
      </c>
      <c r="N195" s="45" t="str">
        <f t="shared" si="4"/>
        <v/>
      </c>
      <c r="O195" s="45">
        <v>10</v>
      </c>
    </row>
    <row r="196" spans="1:15" s="45" customFormat="1" ht="25" customHeight="1" x14ac:dyDescent="0.35">
      <c r="A196" s="109">
        <v>193</v>
      </c>
      <c r="B196" s="110"/>
      <c r="C196" s="111"/>
      <c r="D196" s="112"/>
      <c r="E196" s="110"/>
      <c r="F196" s="113"/>
      <c r="G196" s="113"/>
      <c r="H196" s="114">
        <f t="shared" si="5"/>
        <v>0</v>
      </c>
      <c r="N196" s="45" t="str">
        <f t="shared" si="4"/>
        <v/>
      </c>
      <c r="O196" s="45">
        <v>10</v>
      </c>
    </row>
    <row r="197" spans="1:15" s="45" customFormat="1" ht="25" customHeight="1" x14ac:dyDescent="0.35">
      <c r="A197" s="109">
        <v>194</v>
      </c>
      <c r="B197" s="110"/>
      <c r="C197" s="111"/>
      <c r="D197" s="112"/>
      <c r="E197" s="110"/>
      <c r="F197" s="113"/>
      <c r="G197" s="113"/>
      <c r="H197" s="114">
        <f t="shared" si="5"/>
        <v>0</v>
      </c>
      <c r="N197" s="45" t="str">
        <f t="shared" ref="N197:N243" si="6">IF(E197="","",TEXT(E197,"mmm-yyyy"))</f>
        <v/>
      </c>
      <c r="O197" s="45">
        <v>10</v>
      </c>
    </row>
    <row r="198" spans="1:15" s="45" customFormat="1" ht="25" customHeight="1" x14ac:dyDescent="0.35">
      <c r="A198" s="109">
        <v>195</v>
      </c>
      <c r="B198" s="110"/>
      <c r="C198" s="111"/>
      <c r="D198" s="112"/>
      <c r="E198" s="110"/>
      <c r="F198" s="113"/>
      <c r="G198" s="113"/>
      <c r="H198" s="114">
        <f t="shared" si="5"/>
        <v>0</v>
      </c>
      <c r="N198" s="45" t="str">
        <f t="shared" si="6"/>
        <v/>
      </c>
      <c r="O198" s="45">
        <v>10</v>
      </c>
    </row>
    <row r="199" spans="1:15" s="45" customFormat="1" ht="25" customHeight="1" x14ac:dyDescent="0.35">
      <c r="A199" s="109">
        <v>196</v>
      </c>
      <c r="B199" s="110"/>
      <c r="C199" s="111"/>
      <c r="D199" s="112"/>
      <c r="E199" s="110"/>
      <c r="F199" s="113"/>
      <c r="G199" s="113"/>
      <c r="H199" s="114">
        <f t="shared" si="5"/>
        <v>0</v>
      </c>
      <c r="N199" s="45" t="str">
        <f t="shared" si="6"/>
        <v/>
      </c>
      <c r="O199" s="45">
        <v>10</v>
      </c>
    </row>
    <row r="200" spans="1:15" s="45" customFormat="1" ht="25" customHeight="1" x14ac:dyDescent="0.35">
      <c r="A200" s="109">
        <v>197</v>
      </c>
      <c r="B200" s="110"/>
      <c r="C200" s="111"/>
      <c r="D200" s="112"/>
      <c r="E200" s="110"/>
      <c r="F200" s="113"/>
      <c r="G200" s="113"/>
      <c r="H200" s="114">
        <f t="shared" ref="H200:H243" si="7">G200-F200</f>
        <v>0</v>
      </c>
      <c r="N200" s="45" t="str">
        <f t="shared" si="6"/>
        <v/>
      </c>
      <c r="O200" s="45">
        <v>10</v>
      </c>
    </row>
    <row r="201" spans="1:15" s="45" customFormat="1" ht="25" customHeight="1" x14ac:dyDescent="0.35">
      <c r="A201" s="109">
        <v>198</v>
      </c>
      <c r="B201" s="110"/>
      <c r="C201" s="111"/>
      <c r="D201" s="112"/>
      <c r="E201" s="110"/>
      <c r="F201" s="113"/>
      <c r="G201" s="113"/>
      <c r="H201" s="114">
        <f t="shared" si="7"/>
        <v>0</v>
      </c>
      <c r="N201" s="45" t="str">
        <f t="shared" si="6"/>
        <v/>
      </c>
      <c r="O201" s="45">
        <v>10</v>
      </c>
    </row>
    <row r="202" spans="1:15" s="45" customFormat="1" ht="25" customHeight="1" x14ac:dyDescent="0.35">
      <c r="A202" s="109">
        <v>199</v>
      </c>
      <c r="B202" s="110"/>
      <c r="C202" s="111"/>
      <c r="D202" s="112"/>
      <c r="E202" s="110"/>
      <c r="F202" s="113"/>
      <c r="G202" s="113"/>
      <c r="H202" s="114">
        <f t="shared" si="7"/>
        <v>0</v>
      </c>
      <c r="N202" s="45" t="str">
        <f t="shared" si="6"/>
        <v/>
      </c>
      <c r="O202" s="45">
        <v>10</v>
      </c>
    </row>
    <row r="203" spans="1:15" s="45" customFormat="1" ht="25" customHeight="1" x14ac:dyDescent="0.35">
      <c r="A203" s="109">
        <v>200</v>
      </c>
      <c r="B203" s="110"/>
      <c r="C203" s="111"/>
      <c r="D203" s="112"/>
      <c r="E203" s="110"/>
      <c r="F203" s="113"/>
      <c r="G203" s="113"/>
      <c r="H203" s="114">
        <f t="shared" si="7"/>
        <v>0</v>
      </c>
      <c r="N203" s="45" t="str">
        <f t="shared" si="6"/>
        <v/>
      </c>
      <c r="O203" s="45">
        <v>10</v>
      </c>
    </row>
    <row r="204" spans="1:15" s="45" customFormat="1" ht="25" customHeight="1" x14ac:dyDescent="0.35">
      <c r="A204" s="109">
        <v>201</v>
      </c>
      <c r="B204" s="110"/>
      <c r="C204" s="111"/>
      <c r="D204" s="112"/>
      <c r="E204" s="110"/>
      <c r="F204" s="113"/>
      <c r="G204" s="113"/>
      <c r="H204" s="114">
        <f t="shared" si="7"/>
        <v>0</v>
      </c>
      <c r="N204" s="45" t="str">
        <f t="shared" si="6"/>
        <v/>
      </c>
      <c r="O204" s="45">
        <v>10</v>
      </c>
    </row>
    <row r="205" spans="1:15" s="45" customFormat="1" ht="25" customHeight="1" x14ac:dyDescent="0.35">
      <c r="A205" s="109">
        <v>202</v>
      </c>
      <c r="B205" s="110"/>
      <c r="C205" s="111"/>
      <c r="D205" s="112"/>
      <c r="E205" s="110"/>
      <c r="F205" s="113"/>
      <c r="G205" s="113"/>
      <c r="H205" s="114">
        <f t="shared" si="7"/>
        <v>0</v>
      </c>
      <c r="N205" s="45" t="str">
        <f t="shared" si="6"/>
        <v/>
      </c>
      <c r="O205" s="45">
        <v>10</v>
      </c>
    </row>
    <row r="206" spans="1:15" s="45" customFormat="1" ht="25" customHeight="1" x14ac:dyDescent="0.35">
      <c r="A206" s="109">
        <v>203</v>
      </c>
      <c r="B206" s="110"/>
      <c r="C206" s="111"/>
      <c r="D206" s="112"/>
      <c r="E206" s="110"/>
      <c r="F206" s="113"/>
      <c r="G206" s="113"/>
      <c r="H206" s="114">
        <f t="shared" si="7"/>
        <v>0</v>
      </c>
      <c r="N206" s="45" t="str">
        <f t="shared" si="6"/>
        <v/>
      </c>
      <c r="O206" s="45">
        <v>10</v>
      </c>
    </row>
    <row r="207" spans="1:15" s="45" customFormat="1" ht="25" customHeight="1" x14ac:dyDescent="0.35">
      <c r="A207" s="109">
        <v>204</v>
      </c>
      <c r="B207" s="110"/>
      <c r="C207" s="111"/>
      <c r="D207" s="112"/>
      <c r="E207" s="110"/>
      <c r="F207" s="113"/>
      <c r="G207" s="113"/>
      <c r="H207" s="114">
        <f t="shared" si="7"/>
        <v>0</v>
      </c>
      <c r="N207" s="45" t="str">
        <f t="shared" si="6"/>
        <v/>
      </c>
      <c r="O207" s="45">
        <v>10</v>
      </c>
    </row>
    <row r="208" spans="1:15" s="45" customFormat="1" ht="25" customHeight="1" x14ac:dyDescent="0.35">
      <c r="A208" s="109">
        <v>205</v>
      </c>
      <c r="B208" s="110"/>
      <c r="C208" s="111"/>
      <c r="D208" s="112"/>
      <c r="E208" s="110"/>
      <c r="F208" s="113"/>
      <c r="G208" s="113"/>
      <c r="H208" s="114">
        <f t="shared" si="7"/>
        <v>0</v>
      </c>
      <c r="N208" s="45" t="str">
        <f t="shared" si="6"/>
        <v/>
      </c>
      <c r="O208" s="45">
        <v>10</v>
      </c>
    </row>
    <row r="209" spans="1:15" s="45" customFormat="1" ht="25" customHeight="1" x14ac:dyDescent="0.35">
      <c r="A209" s="109">
        <v>206</v>
      </c>
      <c r="B209" s="110"/>
      <c r="C209" s="111"/>
      <c r="D209" s="112"/>
      <c r="E209" s="110"/>
      <c r="F209" s="113"/>
      <c r="G209" s="113"/>
      <c r="H209" s="114">
        <f t="shared" si="7"/>
        <v>0</v>
      </c>
      <c r="N209" s="45" t="str">
        <f t="shared" si="6"/>
        <v/>
      </c>
      <c r="O209" s="45">
        <v>10</v>
      </c>
    </row>
    <row r="210" spans="1:15" s="45" customFormat="1" ht="25" customHeight="1" x14ac:dyDescent="0.35">
      <c r="A210" s="109">
        <v>207</v>
      </c>
      <c r="B210" s="110"/>
      <c r="C210" s="111"/>
      <c r="D210" s="112"/>
      <c r="E210" s="110"/>
      <c r="F210" s="113"/>
      <c r="G210" s="113"/>
      <c r="H210" s="114">
        <f t="shared" si="7"/>
        <v>0</v>
      </c>
      <c r="N210" s="45" t="str">
        <f t="shared" si="6"/>
        <v/>
      </c>
      <c r="O210" s="45">
        <v>10</v>
      </c>
    </row>
    <row r="211" spans="1:15" s="45" customFormat="1" ht="25" customHeight="1" x14ac:dyDescent="0.35">
      <c r="A211" s="109">
        <v>208</v>
      </c>
      <c r="B211" s="110"/>
      <c r="C211" s="111"/>
      <c r="D211" s="112"/>
      <c r="E211" s="110"/>
      <c r="F211" s="113"/>
      <c r="G211" s="113"/>
      <c r="H211" s="114">
        <f t="shared" si="7"/>
        <v>0</v>
      </c>
      <c r="N211" s="45" t="str">
        <f t="shared" si="6"/>
        <v/>
      </c>
      <c r="O211" s="45">
        <v>10</v>
      </c>
    </row>
    <row r="212" spans="1:15" s="45" customFormat="1" ht="25" customHeight="1" x14ac:dyDescent="0.35">
      <c r="A212" s="109">
        <v>209</v>
      </c>
      <c r="B212" s="110"/>
      <c r="C212" s="111"/>
      <c r="D212" s="112"/>
      <c r="E212" s="110"/>
      <c r="F212" s="113"/>
      <c r="G212" s="113"/>
      <c r="H212" s="114">
        <f t="shared" si="7"/>
        <v>0</v>
      </c>
      <c r="N212" s="45" t="str">
        <f t="shared" si="6"/>
        <v/>
      </c>
      <c r="O212" s="45">
        <v>10</v>
      </c>
    </row>
    <row r="213" spans="1:15" s="45" customFormat="1" ht="25" customHeight="1" x14ac:dyDescent="0.35">
      <c r="A213" s="109">
        <v>210</v>
      </c>
      <c r="B213" s="110"/>
      <c r="C213" s="111"/>
      <c r="D213" s="112"/>
      <c r="E213" s="110"/>
      <c r="F213" s="113"/>
      <c r="G213" s="113"/>
      <c r="H213" s="114">
        <f t="shared" si="7"/>
        <v>0</v>
      </c>
      <c r="N213" s="45" t="str">
        <f t="shared" si="6"/>
        <v/>
      </c>
      <c r="O213" s="45">
        <v>10</v>
      </c>
    </row>
    <row r="214" spans="1:15" s="45" customFormat="1" ht="25" customHeight="1" x14ac:dyDescent="0.35">
      <c r="A214" s="109">
        <v>211</v>
      </c>
      <c r="B214" s="110"/>
      <c r="C214" s="111"/>
      <c r="D214" s="112"/>
      <c r="E214" s="110"/>
      <c r="F214" s="113"/>
      <c r="G214" s="113"/>
      <c r="H214" s="114">
        <f t="shared" si="7"/>
        <v>0</v>
      </c>
      <c r="N214" s="45" t="str">
        <f t="shared" si="6"/>
        <v/>
      </c>
      <c r="O214" s="45">
        <v>10</v>
      </c>
    </row>
    <row r="215" spans="1:15" s="45" customFormat="1" ht="25" customHeight="1" x14ac:dyDescent="0.35">
      <c r="A215" s="109">
        <v>212</v>
      </c>
      <c r="B215" s="110"/>
      <c r="C215" s="111"/>
      <c r="D215" s="112"/>
      <c r="E215" s="110"/>
      <c r="F215" s="113"/>
      <c r="G215" s="113"/>
      <c r="H215" s="114">
        <f t="shared" si="7"/>
        <v>0</v>
      </c>
      <c r="N215" s="45" t="str">
        <f t="shared" si="6"/>
        <v/>
      </c>
      <c r="O215" s="45">
        <v>10</v>
      </c>
    </row>
    <row r="216" spans="1:15" s="45" customFormat="1" ht="25" customHeight="1" x14ac:dyDescent="0.35">
      <c r="A216" s="109">
        <v>213</v>
      </c>
      <c r="B216" s="110"/>
      <c r="C216" s="111"/>
      <c r="D216" s="112"/>
      <c r="E216" s="110"/>
      <c r="F216" s="113"/>
      <c r="G216" s="113"/>
      <c r="H216" s="114">
        <f t="shared" si="7"/>
        <v>0</v>
      </c>
      <c r="N216" s="45" t="str">
        <f t="shared" si="6"/>
        <v/>
      </c>
      <c r="O216" s="45">
        <v>10</v>
      </c>
    </row>
    <row r="217" spans="1:15" s="45" customFormat="1" ht="25" customHeight="1" x14ac:dyDescent="0.35">
      <c r="A217" s="109">
        <v>214</v>
      </c>
      <c r="B217" s="110"/>
      <c r="C217" s="111"/>
      <c r="D217" s="112"/>
      <c r="E217" s="110"/>
      <c r="F217" s="113"/>
      <c r="G217" s="113"/>
      <c r="H217" s="114">
        <f t="shared" si="7"/>
        <v>0</v>
      </c>
      <c r="N217" s="45" t="str">
        <f t="shared" si="6"/>
        <v/>
      </c>
      <c r="O217" s="45">
        <v>10</v>
      </c>
    </row>
    <row r="218" spans="1:15" s="45" customFormat="1" ht="25" customHeight="1" x14ac:dyDescent="0.35">
      <c r="A218" s="109">
        <v>215</v>
      </c>
      <c r="B218" s="110"/>
      <c r="C218" s="111"/>
      <c r="D218" s="112"/>
      <c r="E218" s="110"/>
      <c r="F218" s="113"/>
      <c r="G218" s="113"/>
      <c r="H218" s="114">
        <f t="shared" si="7"/>
        <v>0</v>
      </c>
      <c r="N218" s="45" t="str">
        <f t="shared" si="6"/>
        <v/>
      </c>
      <c r="O218" s="45">
        <v>10</v>
      </c>
    </row>
    <row r="219" spans="1:15" s="45" customFormat="1" ht="25" customHeight="1" x14ac:dyDescent="0.35">
      <c r="A219" s="109">
        <v>216</v>
      </c>
      <c r="B219" s="110"/>
      <c r="C219" s="111"/>
      <c r="D219" s="112"/>
      <c r="E219" s="110"/>
      <c r="F219" s="113"/>
      <c r="G219" s="113"/>
      <c r="H219" s="114">
        <f t="shared" si="7"/>
        <v>0</v>
      </c>
      <c r="N219" s="45" t="str">
        <f t="shared" si="6"/>
        <v/>
      </c>
      <c r="O219" s="45">
        <v>10</v>
      </c>
    </row>
    <row r="220" spans="1:15" s="45" customFormat="1" ht="25" customHeight="1" x14ac:dyDescent="0.35">
      <c r="A220" s="109">
        <v>217</v>
      </c>
      <c r="B220" s="110"/>
      <c r="C220" s="111"/>
      <c r="D220" s="112"/>
      <c r="E220" s="110"/>
      <c r="F220" s="113"/>
      <c r="G220" s="113"/>
      <c r="H220" s="114">
        <f t="shared" si="7"/>
        <v>0</v>
      </c>
      <c r="N220" s="45" t="str">
        <f t="shared" si="6"/>
        <v/>
      </c>
      <c r="O220" s="45">
        <v>10</v>
      </c>
    </row>
    <row r="221" spans="1:15" s="45" customFormat="1" ht="25" customHeight="1" x14ac:dyDescent="0.35">
      <c r="A221" s="109">
        <v>218</v>
      </c>
      <c r="B221" s="110"/>
      <c r="C221" s="111"/>
      <c r="D221" s="112"/>
      <c r="E221" s="110"/>
      <c r="F221" s="113"/>
      <c r="G221" s="113"/>
      <c r="H221" s="114">
        <f t="shared" si="7"/>
        <v>0</v>
      </c>
      <c r="N221" s="45" t="str">
        <f t="shared" si="6"/>
        <v/>
      </c>
      <c r="O221" s="45">
        <v>10</v>
      </c>
    </row>
    <row r="222" spans="1:15" s="45" customFormat="1" ht="25" customHeight="1" x14ac:dyDescent="0.35">
      <c r="A222" s="109">
        <v>219</v>
      </c>
      <c r="B222" s="110"/>
      <c r="C222" s="111"/>
      <c r="D222" s="112"/>
      <c r="E222" s="110"/>
      <c r="F222" s="113"/>
      <c r="G222" s="113"/>
      <c r="H222" s="114">
        <f t="shared" si="7"/>
        <v>0</v>
      </c>
      <c r="N222" s="45" t="str">
        <f t="shared" si="6"/>
        <v/>
      </c>
      <c r="O222" s="45">
        <v>10</v>
      </c>
    </row>
    <row r="223" spans="1:15" s="45" customFormat="1" ht="25" customHeight="1" x14ac:dyDescent="0.35">
      <c r="A223" s="109">
        <v>220</v>
      </c>
      <c r="B223" s="110"/>
      <c r="C223" s="111"/>
      <c r="D223" s="112"/>
      <c r="E223" s="110"/>
      <c r="F223" s="113"/>
      <c r="G223" s="113"/>
      <c r="H223" s="114">
        <f t="shared" si="7"/>
        <v>0</v>
      </c>
      <c r="N223" s="45" t="str">
        <f t="shared" si="6"/>
        <v/>
      </c>
      <c r="O223" s="45">
        <v>10</v>
      </c>
    </row>
    <row r="224" spans="1:15" s="45" customFormat="1" ht="25" customHeight="1" x14ac:dyDescent="0.35">
      <c r="A224" s="109">
        <v>221</v>
      </c>
      <c r="B224" s="110"/>
      <c r="C224" s="111"/>
      <c r="D224" s="112"/>
      <c r="E224" s="110"/>
      <c r="F224" s="113"/>
      <c r="G224" s="113"/>
      <c r="H224" s="114">
        <f t="shared" si="7"/>
        <v>0</v>
      </c>
      <c r="N224" s="45" t="str">
        <f t="shared" si="6"/>
        <v/>
      </c>
      <c r="O224" s="45">
        <v>10</v>
      </c>
    </row>
    <row r="225" spans="1:15" s="45" customFormat="1" ht="25" customHeight="1" x14ac:dyDescent="0.35">
      <c r="A225" s="109">
        <v>222</v>
      </c>
      <c r="B225" s="110"/>
      <c r="C225" s="111"/>
      <c r="D225" s="112"/>
      <c r="E225" s="110"/>
      <c r="F225" s="113"/>
      <c r="G225" s="113"/>
      <c r="H225" s="114">
        <f t="shared" si="7"/>
        <v>0</v>
      </c>
      <c r="N225" s="45" t="str">
        <f t="shared" si="6"/>
        <v/>
      </c>
      <c r="O225" s="45">
        <v>10</v>
      </c>
    </row>
    <row r="226" spans="1:15" s="45" customFormat="1" ht="25" customHeight="1" x14ac:dyDescent="0.35">
      <c r="A226" s="109">
        <v>223</v>
      </c>
      <c r="B226" s="110"/>
      <c r="C226" s="111"/>
      <c r="D226" s="112"/>
      <c r="E226" s="110"/>
      <c r="F226" s="113"/>
      <c r="G226" s="113"/>
      <c r="H226" s="114">
        <f t="shared" si="7"/>
        <v>0</v>
      </c>
      <c r="N226" s="45" t="str">
        <f t="shared" si="6"/>
        <v/>
      </c>
      <c r="O226" s="45">
        <v>10</v>
      </c>
    </row>
    <row r="227" spans="1:15" s="45" customFormat="1" ht="25" customHeight="1" x14ac:dyDescent="0.35">
      <c r="A227" s="109">
        <v>224</v>
      </c>
      <c r="B227" s="110"/>
      <c r="C227" s="111"/>
      <c r="D227" s="112"/>
      <c r="E227" s="110"/>
      <c r="F227" s="113"/>
      <c r="G227" s="113"/>
      <c r="H227" s="114">
        <f t="shared" si="7"/>
        <v>0</v>
      </c>
      <c r="N227" s="45" t="str">
        <f t="shared" si="6"/>
        <v/>
      </c>
      <c r="O227" s="45">
        <v>10</v>
      </c>
    </row>
    <row r="228" spans="1:15" s="45" customFormat="1" ht="25" customHeight="1" x14ac:dyDescent="0.35">
      <c r="A228" s="109">
        <v>225</v>
      </c>
      <c r="B228" s="110"/>
      <c r="C228" s="111"/>
      <c r="D228" s="112"/>
      <c r="E228" s="110"/>
      <c r="F228" s="113"/>
      <c r="G228" s="113"/>
      <c r="H228" s="114">
        <f t="shared" si="7"/>
        <v>0</v>
      </c>
      <c r="N228" s="45" t="str">
        <f t="shared" si="6"/>
        <v/>
      </c>
      <c r="O228" s="45">
        <v>10</v>
      </c>
    </row>
    <row r="229" spans="1:15" s="45" customFormat="1" ht="25" customHeight="1" x14ac:dyDescent="0.35">
      <c r="A229" s="109">
        <v>226</v>
      </c>
      <c r="B229" s="110"/>
      <c r="C229" s="111"/>
      <c r="D229" s="112"/>
      <c r="E229" s="110"/>
      <c r="F229" s="113"/>
      <c r="G229" s="113"/>
      <c r="H229" s="114">
        <f t="shared" si="7"/>
        <v>0</v>
      </c>
      <c r="N229" s="45" t="str">
        <f t="shared" si="6"/>
        <v/>
      </c>
      <c r="O229" s="45">
        <v>10</v>
      </c>
    </row>
    <row r="230" spans="1:15" s="45" customFormat="1" ht="25" customHeight="1" x14ac:dyDescent="0.35">
      <c r="A230" s="109">
        <v>227</v>
      </c>
      <c r="B230" s="110"/>
      <c r="C230" s="111"/>
      <c r="D230" s="112"/>
      <c r="E230" s="110"/>
      <c r="F230" s="113"/>
      <c r="G230" s="113"/>
      <c r="H230" s="114">
        <f t="shared" si="7"/>
        <v>0</v>
      </c>
      <c r="N230" s="45" t="str">
        <f t="shared" si="6"/>
        <v/>
      </c>
      <c r="O230" s="45">
        <v>10</v>
      </c>
    </row>
    <row r="231" spans="1:15" s="45" customFormat="1" ht="25" customHeight="1" x14ac:dyDescent="0.35">
      <c r="A231" s="109">
        <v>228</v>
      </c>
      <c r="B231" s="110"/>
      <c r="C231" s="111"/>
      <c r="D231" s="112"/>
      <c r="E231" s="110"/>
      <c r="F231" s="113"/>
      <c r="G231" s="113"/>
      <c r="H231" s="114">
        <f t="shared" si="7"/>
        <v>0</v>
      </c>
      <c r="N231" s="45" t="str">
        <f t="shared" si="6"/>
        <v/>
      </c>
      <c r="O231" s="45">
        <v>10</v>
      </c>
    </row>
    <row r="232" spans="1:15" s="45" customFormat="1" ht="25" customHeight="1" x14ac:dyDescent="0.35">
      <c r="A232" s="109">
        <v>229</v>
      </c>
      <c r="B232" s="110"/>
      <c r="C232" s="111"/>
      <c r="D232" s="112"/>
      <c r="E232" s="110"/>
      <c r="F232" s="113"/>
      <c r="G232" s="113"/>
      <c r="H232" s="114">
        <f t="shared" si="7"/>
        <v>0</v>
      </c>
      <c r="N232" s="45" t="str">
        <f t="shared" si="6"/>
        <v/>
      </c>
      <c r="O232" s="45">
        <v>10</v>
      </c>
    </row>
    <row r="233" spans="1:15" s="45" customFormat="1" ht="25" customHeight="1" x14ac:dyDescent="0.35">
      <c r="A233" s="109">
        <v>230</v>
      </c>
      <c r="B233" s="110"/>
      <c r="C233" s="111"/>
      <c r="D233" s="112"/>
      <c r="E233" s="110"/>
      <c r="F233" s="113"/>
      <c r="G233" s="113"/>
      <c r="H233" s="114">
        <f t="shared" si="7"/>
        <v>0</v>
      </c>
      <c r="N233" s="45" t="str">
        <f t="shared" si="6"/>
        <v/>
      </c>
      <c r="O233" s="45">
        <v>10</v>
      </c>
    </row>
    <row r="234" spans="1:15" s="45" customFormat="1" ht="25" customHeight="1" x14ac:dyDescent="0.35">
      <c r="A234" s="109">
        <v>231</v>
      </c>
      <c r="B234" s="110"/>
      <c r="C234" s="111"/>
      <c r="D234" s="112"/>
      <c r="E234" s="110"/>
      <c r="F234" s="113"/>
      <c r="G234" s="113"/>
      <c r="H234" s="114">
        <f t="shared" si="7"/>
        <v>0</v>
      </c>
      <c r="N234" s="45" t="str">
        <f t="shared" si="6"/>
        <v/>
      </c>
      <c r="O234" s="45">
        <v>10</v>
      </c>
    </row>
    <row r="235" spans="1:15" s="45" customFormat="1" ht="25" customHeight="1" x14ac:dyDescent="0.35">
      <c r="A235" s="109">
        <v>232</v>
      </c>
      <c r="B235" s="110"/>
      <c r="C235" s="111"/>
      <c r="D235" s="112"/>
      <c r="E235" s="110"/>
      <c r="F235" s="113"/>
      <c r="G235" s="113"/>
      <c r="H235" s="114">
        <f t="shared" si="7"/>
        <v>0</v>
      </c>
      <c r="N235" s="45" t="str">
        <f t="shared" si="6"/>
        <v/>
      </c>
      <c r="O235" s="45">
        <v>10</v>
      </c>
    </row>
    <row r="236" spans="1:15" s="45" customFormat="1" ht="25" customHeight="1" x14ac:dyDescent="0.35">
      <c r="A236" s="109">
        <v>233</v>
      </c>
      <c r="B236" s="110"/>
      <c r="C236" s="111"/>
      <c r="D236" s="112"/>
      <c r="E236" s="110"/>
      <c r="F236" s="113"/>
      <c r="G236" s="113"/>
      <c r="H236" s="114">
        <f t="shared" si="7"/>
        <v>0</v>
      </c>
      <c r="N236" s="45" t="str">
        <f t="shared" si="6"/>
        <v/>
      </c>
      <c r="O236" s="45">
        <v>10</v>
      </c>
    </row>
    <row r="237" spans="1:15" s="45" customFormat="1" ht="25" customHeight="1" x14ac:dyDescent="0.35">
      <c r="A237" s="109">
        <v>234</v>
      </c>
      <c r="B237" s="110"/>
      <c r="C237" s="111"/>
      <c r="D237" s="112"/>
      <c r="E237" s="110"/>
      <c r="F237" s="113"/>
      <c r="G237" s="113"/>
      <c r="H237" s="114">
        <f t="shared" si="7"/>
        <v>0</v>
      </c>
      <c r="N237" s="45" t="str">
        <f t="shared" si="6"/>
        <v/>
      </c>
      <c r="O237" s="45">
        <v>10</v>
      </c>
    </row>
    <row r="238" spans="1:15" s="45" customFormat="1" ht="25" customHeight="1" x14ac:dyDescent="0.35">
      <c r="A238" s="109">
        <v>235</v>
      </c>
      <c r="B238" s="110"/>
      <c r="C238" s="111"/>
      <c r="D238" s="112"/>
      <c r="E238" s="110"/>
      <c r="F238" s="113"/>
      <c r="G238" s="113"/>
      <c r="H238" s="114">
        <f t="shared" si="7"/>
        <v>0</v>
      </c>
      <c r="N238" s="45" t="str">
        <f t="shared" si="6"/>
        <v/>
      </c>
      <c r="O238" s="45">
        <v>10</v>
      </c>
    </row>
    <row r="239" spans="1:15" s="45" customFormat="1" ht="25" customHeight="1" x14ac:dyDescent="0.35">
      <c r="A239" s="109">
        <v>236</v>
      </c>
      <c r="B239" s="110"/>
      <c r="C239" s="111"/>
      <c r="D239" s="112"/>
      <c r="E239" s="110"/>
      <c r="F239" s="113"/>
      <c r="G239" s="113"/>
      <c r="H239" s="114">
        <f t="shared" si="7"/>
        <v>0</v>
      </c>
      <c r="N239" s="45" t="str">
        <f t="shared" si="6"/>
        <v/>
      </c>
      <c r="O239" s="45">
        <v>10</v>
      </c>
    </row>
    <row r="240" spans="1:15" s="45" customFormat="1" ht="25" customHeight="1" x14ac:dyDescent="0.35">
      <c r="A240" s="109">
        <v>237</v>
      </c>
      <c r="B240" s="110"/>
      <c r="C240" s="111"/>
      <c r="D240" s="112"/>
      <c r="E240" s="110"/>
      <c r="F240" s="113"/>
      <c r="G240" s="113"/>
      <c r="H240" s="114">
        <f t="shared" si="7"/>
        <v>0</v>
      </c>
      <c r="N240" s="45" t="str">
        <f t="shared" si="6"/>
        <v/>
      </c>
      <c r="O240" s="45">
        <v>10</v>
      </c>
    </row>
    <row r="241" spans="1:15" s="45" customFormat="1" ht="25" customHeight="1" x14ac:dyDescent="0.35">
      <c r="A241" s="109">
        <v>238</v>
      </c>
      <c r="B241" s="110"/>
      <c r="C241" s="111"/>
      <c r="D241" s="112"/>
      <c r="E241" s="110"/>
      <c r="F241" s="113"/>
      <c r="G241" s="113"/>
      <c r="H241" s="114">
        <f t="shared" si="7"/>
        <v>0</v>
      </c>
      <c r="N241" s="45" t="str">
        <f t="shared" si="6"/>
        <v/>
      </c>
      <c r="O241" s="45">
        <v>10</v>
      </c>
    </row>
    <row r="242" spans="1:15" s="45" customFormat="1" ht="25" customHeight="1" x14ac:dyDescent="0.35">
      <c r="A242" s="109">
        <v>239</v>
      </c>
      <c r="B242" s="110"/>
      <c r="C242" s="111"/>
      <c r="D242" s="112"/>
      <c r="E242" s="110"/>
      <c r="F242" s="113"/>
      <c r="G242" s="113"/>
      <c r="H242" s="114">
        <f t="shared" si="7"/>
        <v>0</v>
      </c>
      <c r="N242" s="45" t="str">
        <f t="shared" si="6"/>
        <v/>
      </c>
      <c r="O242" s="45">
        <v>10</v>
      </c>
    </row>
    <row r="243" spans="1:15" s="45" customFormat="1" ht="25" customHeight="1" x14ac:dyDescent="0.35">
      <c r="A243" s="118">
        <v>240</v>
      </c>
      <c r="B243" s="119"/>
      <c r="C243" s="120"/>
      <c r="D243" s="121"/>
      <c r="E243" s="119"/>
      <c r="F243" s="122"/>
      <c r="G243" s="122"/>
      <c r="H243" s="114">
        <f t="shared" si="7"/>
        <v>0</v>
      </c>
      <c r="N243" s="45" t="str">
        <f t="shared" si="6"/>
        <v/>
      </c>
      <c r="O243" s="45">
        <v>10</v>
      </c>
    </row>
  </sheetData>
  <sheetProtection algorithmName="SHA-512" hashValue="GpDni7HKL3ltg8wZB+F836olTxo00MZurTPOiZDnv0mA4qRZQNTYYHFUL/HRcCMR49cPgm7+e+O8QFQ5LNaHNw==" saltValue="2Q86LOYh1OYHNIMDE5rLrw==" spinCount="100000" sheet="1" objects="1" scenarios="1"/>
  <mergeCells count="1">
    <mergeCell ref="A1:L1"/>
  </mergeCells>
  <dataValidations count="1">
    <dataValidation type="textLength" operator="greaterThanOrEqual" allowBlank="1" showInputMessage="1" showErrorMessage="1" sqref="C1:C1048576">
      <formula1>O2</formula1>
    </dataValidation>
  </dataValidations>
  <pageMargins left="0.7" right="0.7" top="0.75" bottom="0.75" header="0.3" footer="0.3"/>
  <tableParts count="2">
    <tablePart r:id="rId1"/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4"/>
  <sheetViews>
    <sheetView rightToLeft="1" tabSelected="1" zoomScaleNormal="100" workbookViewId="0">
      <selection activeCell="B7" sqref="B7"/>
    </sheetView>
  </sheetViews>
  <sheetFormatPr defaultRowHeight="14.5" x14ac:dyDescent="0.35"/>
  <cols>
    <col min="1" max="1" width="50.81640625" style="4" customWidth="1"/>
    <col min="2" max="9" width="10.26953125" style="4" customWidth="1"/>
    <col min="10" max="13" width="11.26953125" style="4" customWidth="1"/>
  </cols>
  <sheetData>
    <row r="1" spans="1:13" ht="34.5" customHeight="1" thickBot="1" x14ac:dyDescent="0.4">
      <c r="A1" s="191" t="s">
        <v>218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</row>
    <row r="2" spans="1:13" s="138" customFormat="1" ht="21" customHeight="1" x14ac:dyDescent="0.35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</row>
    <row r="3" spans="1:13" hidden="1" x14ac:dyDescent="0.35">
      <c r="A3" s="4" t="s">
        <v>26</v>
      </c>
      <c r="B3" s="8" t="s">
        <v>51</v>
      </c>
      <c r="C3" s="8" t="s">
        <v>52</v>
      </c>
      <c r="D3" s="8" t="s">
        <v>53</v>
      </c>
      <c r="E3" s="8" t="s">
        <v>54</v>
      </c>
      <c r="F3" s="8" t="s">
        <v>55</v>
      </c>
      <c r="G3" s="8" t="s">
        <v>56</v>
      </c>
      <c r="H3" s="8" t="s">
        <v>57</v>
      </c>
      <c r="I3" s="8" t="s">
        <v>58</v>
      </c>
      <c r="J3" s="8" t="s">
        <v>59</v>
      </c>
      <c r="K3" s="8" t="s">
        <v>60</v>
      </c>
      <c r="L3" s="8" t="s">
        <v>61</v>
      </c>
      <c r="M3" s="8" t="s">
        <v>62</v>
      </c>
    </row>
    <row r="4" spans="1:13" x14ac:dyDescent="0.35">
      <c r="A4" s="4" t="s">
        <v>38</v>
      </c>
      <c r="B4" s="8">
        <v>46023</v>
      </c>
      <c r="C4" s="8">
        <v>46054</v>
      </c>
      <c r="D4" s="8">
        <v>46082</v>
      </c>
      <c r="E4" s="8">
        <v>46113</v>
      </c>
      <c r="F4" s="8">
        <v>46143</v>
      </c>
      <c r="G4" s="8">
        <v>46174</v>
      </c>
      <c r="H4" s="8">
        <v>46204</v>
      </c>
      <c r="I4" s="8">
        <v>46235</v>
      </c>
      <c r="J4" s="8">
        <v>46266</v>
      </c>
      <c r="K4" s="8">
        <v>46296</v>
      </c>
      <c r="L4" s="8">
        <v>46327</v>
      </c>
      <c r="M4" s="8">
        <v>46357</v>
      </c>
    </row>
    <row r="5" spans="1:13" ht="24.75" customHeight="1" x14ac:dyDescent="0.35">
      <c r="A5" s="139" t="s">
        <v>219</v>
      </c>
      <c r="B5" s="139"/>
      <c r="C5" s="139"/>
      <c r="D5" s="139"/>
      <c r="E5" s="139"/>
      <c r="F5" s="139"/>
      <c r="G5" s="139"/>
      <c r="H5" s="139"/>
      <c r="I5" s="139"/>
      <c r="J5" s="139"/>
      <c r="K5" s="139"/>
      <c r="L5" s="139"/>
      <c r="M5" s="139"/>
    </row>
    <row r="6" spans="1:13" x14ac:dyDescent="0.35">
      <c r="A6" s="4" t="s">
        <v>30</v>
      </c>
      <c r="B6" s="4">
        <f>COUNTIF(data_entry[الشهر],B4)</f>
        <v>0</v>
      </c>
      <c r="C6" s="4">
        <f>COUNTIF(data_entry[الشهر],C4)</f>
        <v>0</v>
      </c>
      <c r="D6" s="4">
        <f>COUNTIF(data_entry[الشهر],D4)</f>
        <v>0</v>
      </c>
      <c r="E6" s="4">
        <f>COUNTIF(data_entry[الشهر],E4)</f>
        <v>0</v>
      </c>
      <c r="F6" s="4">
        <f>COUNTIF(data_entry[الشهر],F4)</f>
        <v>0</v>
      </c>
      <c r="G6" s="4">
        <f>COUNTIF(data_entry[الشهر],G4)</f>
        <v>2</v>
      </c>
      <c r="H6" s="4">
        <f>COUNTIF(data_entry[الشهر],H4)</f>
        <v>1</v>
      </c>
      <c r="I6" s="4">
        <f>COUNTIF(data_entry[الشهر],I4)</f>
        <v>0</v>
      </c>
      <c r="J6" s="4">
        <f>COUNTIF(data_entry[الشهر],J4)</f>
        <v>0</v>
      </c>
      <c r="K6" s="4">
        <f>COUNTIF(data_entry[الشهر],K4)</f>
        <v>0</v>
      </c>
      <c r="L6" s="4">
        <f>COUNTIF(data_entry[الشهر],L4)</f>
        <v>0</v>
      </c>
      <c r="M6" s="4">
        <f>COUNTIF(data_entry[الشهر],M4)</f>
        <v>0</v>
      </c>
    </row>
    <row r="7" spans="1:13" x14ac:dyDescent="0.35">
      <c r="A7" s="4" t="s">
        <v>31</v>
      </c>
      <c r="B7" s="4">
        <f>COUNTIFS(data_entry[الشهر],B$4,data_entry[شهر الحل],B$4,data_entry[الحل],"تم الحل")</f>
        <v>0</v>
      </c>
      <c r="C7" s="4">
        <f>COUNTIFS(data_entry[الشهر],C$4,data_entry[شهر الحل],C$4,data_entry[الحل],"تم الحل")</f>
        <v>0</v>
      </c>
      <c r="D7" s="4">
        <f>COUNTIFS(data_entry[الشهر],D$4,data_entry[شهر الحل],D$4,data_entry[الحل],"تم الحل")</f>
        <v>0</v>
      </c>
      <c r="E7" s="4">
        <f>COUNTIFS(data_entry[الشهر],E$4,data_entry[شهر الحل],E$4,data_entry[الحل],"تم الحل")</f>
        <v>0</v>
      </c>
      <c r="F7" s="4">
        <f>COUNTIFS(data_entry[الشهر],F$4,data_entry[شهر الحل],F$4,data_entry[الحل],"تم الحل")</f>
        <v>0</v>
      </c>
      <c r="G7" s="4">
        <f>COUNTIFS(data_entry[الشهر],G$4,data_entry[شهر الحل],G$4,data_entry[الحل],"تم الحل")</f>
        <v>2</v>
      </c>
      <c r="H7" s="4">
        <f>COUNTIFS(data_entry[الشهر],H$4,data_entry[شهر الحل],H$4,data_entry[الحل],"تم الحل")</f>
        <v>0</v>
      </c>
      <c r="I7" s="4">
        <f>COUNTIFS(data_entry[الشهر],I$4,data_entry[شهر الحل],I$4,data_entry[الحل],"تم الحل")</f>
        <v>0</v>
      </c>
      <c r="J7" s="4">
        <f>COUNTIFS(data_entry[الشهر],J$4,data_entry[شهر الحل],J$4,data_entry[الحل],"تم الحل")</f>
        <v>0</v>
      </c>
      <c r="K7" s="4">
        <f>COUNTIFS(data_entry[الشهر],K$4,data_entry[شهر الحل],K$4,data_entry[الحل],"تم الحل")</f>
        <v>0</v>
      </c>
      <c r="L7" s="4">
        <f>COUNTIFS(data_entry[الشهر],L$4,data_entry[شهر الحل],L$4,data_entry[الحل],"تم الحل")</f>
        <v>0</v>
      </c>
      <c r="M7" s="4">
        <f>COUNTIFS(data_entry[الشهر],M$4,data_entry[شهر الحل],M$4,data_entry[الحل],"تم الحل")</f>
        <v>0</v>
      </c>
    </row>
    <row r="8" spans="1:13" x14ac:dyDescent="0.35">
      <c r="A8" s="4" t="s">
        <v>32</v>
      </c>
      <c r="B8" s="4">
        <f>COUNTIFS(data_entry[الشهر],B$4,data_entry[حل فوري],"نعم")</f>
        <v>0</v>
      </c>
      <c r="C8" s="4">
        <f>COUNTIFS(data_entry[الشهر],C$4,data_entry[حل فوري],"نعم")</f>
        <v>0</v>
      </c>
      <c r="D8" s="4">
        <f>COUNTIFS(data_entry[الشهر],D$4,data_entry[حل فوري],"نعم")</f>
        <v>0</v>
      </c>
      <c r="E8" s="4">
        <f>COUNTIFS(data_entry[الشهر],E$4,data_entry[حل فوري],"نعم")</f>
        <v>0</v>
      </c>
      <c r="F8" s="4">
        <f>COUNTIFS(data_entry[الشهر],F$4,data_entry[حل فوري],"نعم")</f>
        <v>0</v>
      </c>
      <c r="G8" s="4">
        <f>COUNTIFS(data_entry[الشهر],G$4,data_entry[حل فوري],"نعم")</f>
        <v>0</v>
      </c>
      <c r="H8" s="4">
        <f>COUNTIFS(data_entry[الشهر],H$4,data_entry[حل فوري],"نعم")</f>
        <v>0</v>
      </c>
      <c r="I8" s="4">
        <f>COUNTIFS(data_entry[الشهر],I$4,data_entry[حل فوري],"نعم")</f>
        <v>0</v>
      </c>
      <c r="J8" s="4">
        <f>COUNTIFS(data_entry[الشهر],J$4,data_entry[حل فوري],"نعم")</f>
        <v>0</v>
      </c>
      <c r="K8" s="4">
        <f>COUNTIFS(data_entry[الشهر],K$4,data_entry[حل فوري],"نعم")</f>
        <v>0</v>
      </c>
      <c r="L8" s="4">
        <f>COUNTIFS(data_entry[الشهر],L$4,data_entry[حل فوري],"نعم")</f>
        <v>0</v>
      </c>
      <c r="M8" s="4">
        <f>COUNTIFS(data_entry[الشهر],M$4,data_entry[حل فوري],"نعم")</f>
        <v>0</v>
      </c>
    </row>
    <row r="9" spans="1:13" x14ac:dyDescent="0.35">
      <c r="A9" s="4" t="s">
        <v>33</v>
      </c>
      <c r="B9" s="4">
        <f>COUNTIFS(data_entry[الشهر],B$4,data_entry[شهر الحل],B$4,data_entry[حل خلال 72 ساعة],"نعم")</f>
        <v>0</v>
      </c>
      <c r="C9" s="4">
        <f>COUNTIFS(data_entry[الشهر],C$4,data_entry[شهر الحل],C$4,data_entry[حل خلال 72 ساعة],"نعم")</f>
        <v>0</v>
      </c>
      <c r="D9" s="4">
        <f>COUNTIFS(data_entry[الشهر],D$4,data_entry[شهر الحل],D$4,data_entry[حل خلال 72 ساعة],"نعم")</f>
        <v>0</v>
      </c>
      <c r="E9" s="4">
        <f>COUNTIFS(data_entry[الشهر],E$4,data_entry[شهر الحل],E$4,data_entry[حل خلال 72 ساعة],"نعم")</f>
        <v>0</v>
      </c>
      <c r="F9" s="4">
        <f>COUNTIFS(data_entry[الشهر],F$4,data_entry[شهر الحل],F$4,data_entry[حل خلال 72 ساعة],"نعم")</f>
        <v>0</v>
      </c>
      <c r="G9" s="4">
        <f>COUNTIFS(data_entry[الشهر],G$4,data_entry[شهر الحل],G$4,data_entry[حل خلال 72 ساعة],"نعم")</f>
        <v>1</v>
      </c>
      <c r="H9" s="4">
        <f>COUNTIFS(data_entry[الشهر],H$4,data_entry[شهر الحل],H$4,data_entry[حل خلال 72 ساعة],"نعم")</f>
        <v>0</v>
      </c>
      <c r="I9" s="4">
        <f>COUNTIFS(data_entry[الشهر],I$4,data_entry[شهر الحل],I$4,data_entry[حل خلال 72 ساعة],"نعم")</f>
        <v>0</v>
      </c>
      <c r="J9" s="4">
        <f>COUNTIFS(data_entry[الشهر],J$4,data_entry[شهر الحل],J$4,data_entry[حل خلال 72 ساعة],"نعم")</f>
        <v>0</v>
      </c>
      <c r="K9" s="4">
        <f>COUNTIFS(data_entry[الشهر],K$4,data_entry[شهر الحل],K$4,data_entry[حل خلال 72 ساعة],"نعم")</f>
        <v>0</v>
      </c>
      <c r="L9" s="4">
        <f>COUNTIFS(data_entry[الشهر],L$4,data_entry[شهر الحل],L$4,data_entry[حل خلال 72 ساعة],"نعم")</f>
        <v>0</v>
      </c>
      <c r="M9" s="4">
        <f>COUNTIFS(data_entry[الشهر],M$4,data_entry[شهر الحل],M$4,data_entry[حل خلال 72 ساعة],"نعم")</f>
        <v>0</v>
      </c>
    </row>
    <row r="10" spans="1:13" x14ac:dyDescent="0.35">
      <c r="A10" s="4" t="s">
        <v>35</v>
      </c>
      <c r="B10" s="4">
        <f>COUNTIFS(data_entry[الشهر],B4,data_entry[التغذية الراجعة],"تم التغذية الراجعة")</f>
        <v>0</v>
      </c>
      <c r="C10" s="4">
        <f>COUNTIFS(data_entry[الشهر],C4,data_entry[التغذية الراجعة],"تم التغذية الراجعة")</f>
        <v>0</v>
      </c>
      <c r="D10" s="4">
        <f>COUNTIFS(data_entry[الشهر],D4,data_entry[التغذية الراجعة],"تم التغذية الراجعة")</f>
        <v>0</v>
      </c>
      <c r="E10" s="4">
        <f>COUNTIFS(data_entry[الشهر],E4,data_entry[التغذية الراجعة],"تم التغذية الراجعة")</f>
        <v>0</v>
      </c>
      <c r="F10" s="4">
        <f>COUNTIFS(data_entry[الشهر],F4,data_entry[التغذية الراجعة],"تم التغذية الراجعة")</f>
        <v>0</v>
      </c>
      <c r="G10" s="4">
        <f>COUNTIFS(data_entry[الشهر],G4,data_entry[التغذية الراجعة],"تم التغذية الراجعة")</f>
        <v>1</v>
      </c>
      <c r="H10" s="4">
        <f>COUNTIFS(data_entry[الشهر],H4,data_entry[التغذية الراجعة],"تم التغذية الراجعة")</f>
        <v>1</v>
      </c>
      <c r="I10" s="4">
        <f>COUNTIFS(data_entry[الشهر],I4,data_entry[التغذية الراجعة],"تم التغذية الراجعة")</f>
        <v>0</v>
      </c>
      <c r="J10" s="4">
        <f>COUNTIFS(data_entry[الشهر],J4,data_entry[التغذية الراجعة],"تم التغذية الراجعة")</f>
        <v>0</v>
      </c>
      <c r="K10" s="4">
        <f>COUNTIFS(data_entry[الشهر],K4,data_entry[التغذية الراجعة],"تم التغذية الراجعة")</f>
        <v>0</v>
      </c>
      <c r="L10" s="4">
        <f>COUNTIFS(data_entry[الشهر],L4,data_entry[التغذية الراجعة],"تم التغذية الراجعة")</f>
        <v>0</v>
      </c>
      <c r="M10" s="4">
        <f>COUNTIFS(data_entry[الشهر],M4,data_entry[التغذية الراجعة],"تم التغذية الراجعة")</f>
        <v>0</v>
      </c>
    </row>
    <row r="11" spans="1:13" s="7" customFormat="1" x14ac:dyDescent="0.35">
      <c r="A11" s="4" t="s">
        <v>34</v>
      </c>
      <c r="B11" s="4">
        <f>SUMIFS(data_entry[زمن الحل(يوم)],data_entry[الشهر],B4,data_entry[شهر الحل],B4)</f>
        <v>0</v>
      </c>
      <c r="C11" s="4">
        <f>SUMIFS(data_entry[زمن الحل(يوم)],data_entry[الشهر],C4,data_entry[شهر الحل],C4)</f>
        <v>0</v>
      </c>
      <c r="D11" s="4">
        <f>SUMIFS(data_entry[زمن الحل(يوم)],data_entry[الشهر],D4,data_entry[شهر الحل],D4)</f>
        <v>0</v>
      </c>
      <c r="E11" s="4">
        <f>SUMIFS(data_entry[زمن الحل(يوم)],data_entry[الشهر],E4,data_entry[شهر الحل],E4)</f>
        <v>0</v>
      </c>
      <c r="F11" s="4">
        <f>SUMIFS(data_entry[زمن الحل(يوم)],data_entry[الشهر],F4,data_entry[شهر الحل],F4)</f>
        <v>0</v>
      </c>
      <c r="G11" s="4">
        <f>SUMIFS(data_entry[زمن الحل(يوم)],data_entry[الشهر],G4,data_entry[شهر الحل],G4)</f>
        <v>5</v>
      </c>
      <c r="H11" s="4">
        <f>SUMIFS(data_entry[زمن الحل(يوم)],data_entry[الشهر],H4,data_entry[شهر الحل],H4)</f>
        <v>0</v>
      </c>
      <c r="I11" s="4">
        <f>SUMIFS(data_entry[زمن الحل(يوم)],data_entry[الشهر],I4,data_entry[شهر الحل],I4)</f>
        <v>0</v>
      </c>
      <c r="J11" s="4">
        <f>SUMIFS(data_entry[زمن الحل(يوم)],data_entry[الشهر],J4,data_entry[شهر الحل],J4)</f>
        <v>0</v>
      </c>
      <c r="K11" s="4">
        <f>SUMIFS(data_entry[زمن الحل(يوم)],data_entry[الشهر],K4,data_entry[شهر الحل],K4)</f>
        <v>0</v>
      </c>
      <c r="L11" s="4">
        <f>SUMIFS(data_entry[زمن الحل(يوم)],data_entry[الشهر],L4,data_entry[شهر الحل],L4)</f>
        <v>0</v>
      </c>
      <c r="M11" s="4">
        <f>SUMIFS(data_entry[زمن الحل(يوم)],data_entry[الشهر],M4,data_entry[شهر الحل],M4)</f>
        <v>0</v>
      </c>
    </row>
    <row r="12" spans="1:13" ht="24.75" customHeight="1" x14ac:dyDescent="0.35">
      <c r="A12" s="139" t="s">
        <v>220</v>
      </c>
      <c r="B12" s="139"/>
      <c r="C12" s="139"/>
      <c r="D12" s="139"/>
      <c r="E12" s="139"/>
      <c r="F12" s="139"/>
      <c r="G12" s="139"/>
      <c r="H12" s="139"/>
      <c r="I12" s="139"/>
      <c r="J12" s="139"/>
      <c r="K12" s="139"/>
      <c r="L12" s="139"/>
      <c r="M12" s="139"/>
    </row>
    <row r="13" spans="1:13" x14ac:dyDescent="0.35">
      <c r="A13" s="9" t="s">
        <v>17</v>
      </c>
      <c r="B13" s="4">
        <f>COUNTIFS(data_entry[الشهر],B4,data_entry[نوع الشكوي],$A13)</f>
        <v>0</v>
      </c>
      <c r="C13" s="4">
        <f>COUNTIFS(data_entry[الشهر],C4,data_entry[نوع الشكوي],$A13)</f>
        <v>0</v>
      </c>
      <c r="D13" s="4">
        <f>COUNTIFS(data_entry[الشهر],D4,data_entry[نوع الشكوي],$A13)</f>
        <v>0</v>
      </c>
      <c r="E13" s="4">
        <f>COUNTIFS(data_entry[الشهر],E4,data_entry[نوع الشكوي],$A13)</f>
        <v>0</v>
      </c>
      <c r="F13" s="4">
        <f>COUNTIFS(data_entry[الشهر],F4,data_entry[نوع الشكوي],$A13)</f>
        <v>0</v>
      </c>
      <c r="G13" s="4">
        <f>COUNTIFS(data_entry[الشهر],G4,data_entry[نوع الشكوي],$A13)</f>
        <v>0</v>
      </c>
      <c r="H13" s="4">
        <f>COUNTIFS(data_entry[الشهر],H4,data_entry[نوع الشكوي],$A13)</f>
        <v>0</v>
      </c>
      <c r="I13" s="4">
        <f>COUNTIFS(data_entry[الشهر],I4,data_entry[نوع الشكوي],$A13)</f>
        <v>0</v>
      </c>
      <c r="J13" s="4">
        <f>COUNTIFS(data_entry[الشهر],J4,data_entry[نوع الشكوي],$A13)</f>
        <v>0</v>
      </c>
      <c r="K13" s="4">
        <f>COUNTIFS(data_entry[الشهر],K4,data_entry[نوع الشكوي],$A13)</f>
        <v>0</v>
      </c>
      <c r="L13" s="4">
        <f>COUNTIFS(data_entry[الشهر],L4,data_entry[نوع الشكوي],$A13)</f>
        <v>0</v>
      </c>
      <c r="M13" s="4">
        <f>COUNTIFS(data_entry[الشهر],M4,data_entry[نوع الشكوي],$A13)</f>
        <v>0</v>
      </c>
    </row>
    <row r="14" spans="1:13" x14ac:dyDescent="0.35">
      <c r="A14" s="9" t="s">
        <v>8</v>
      </c>
      <c r="B14" s="4">
        <f>COUNTIFS(data_entry[الشهر],B4,data_entry[نوع الشكوي],$A14)</f>
        <v>0</v>
      </c>
      <c r="C14" s="4">
        <f>COUNTIFS(data_entry[الشهر],C4,data_entry[نوع الشكوي],$A14)</f>
        <v>0</v>
      </c>
      <c r="D14" s="4">
        <f>COUNTIFS(data_entry[الشهر],D4,data_entry[نوع الشكوي],$A14)</f>
        <v>0</v>
      </c>
      <c r="E14" s="4">
        <f>COUNTIFS(data_entry[الشهر],E4,data_entry[نوع الشكوي],$A14)</f>
        <v>0</v>
      </c>
      <c r="F14" s="4">
        <f>COUNTIFS(data_entry[الشهر],F4,data_entry[نوع الشكوي],$A14)</f>
        <v>0</v>
      </c>
      <c r="G14" s="4">
        <f>COUNTIFS(data_entry[الشهر],G4,data_entry[نوع الشكوي],$A14)</f>
        <v>0</v>
      </c>
      <c r="H14" s="4">
        <f>COUNTIFS(data_entry[الشهر],H4,data_entry[نوع الشكوي],$A14)</f>
        <v>0</v>
      </c>
      <c r="I14" s="4">
        <f>COUNTIFS(data_entry[الشهر],I4,data_entry[نوع الشكوي],$A14)</f>
        <v>0</v>
      </c>
      <c r="J14" s="4">
        <f>COUNTIFS(data_entry[الشهر],J4,data_entry[نوع الشكوي],$A14)</f>
        <v>0</v>
      </c>
      <c r="K14" s="4">
        <f>COUNTIFS(data_entry[الشهر],K4,data_entry[نوع الشكوي],$A14)</f>
        <v>0</v>
      </c>
      <c r="L14" s="4">
        <f>COUNTIFS(data_entry[الشهر],L4,data_entry[نوع الشكوي],$A14)</f>
        <v>0</v>
      </c>
      <c r="M14" s="4">
        <f>COUNTIFS(data_entry[الشهر],M4,data_entry[نوع الشكوي],$A14)</f>
        <v>0</v>
      </c>
    </row>
    <row r="15" spans="1:13" x14ac:dyDescent="0.35">
      <c r="A15" s="9" t="s">
        <v>9</v>
      </c>
      <c r="B15" s="4">
        <f>COUNTIFS(data_entry[الشهر],B4,data_entry[نوع الشكوي],$A15)</f>
        <v>0</v>
      </c>
      <c r="C15" s="4">
        <f>COUNTIFS(data_entry[الشهر],C4,data_entry[نوع الشكوي],$A15)</f>
        <v>0</v>
      </c>
      <c r="D15" s="4">
        <f>COUNTIFS(data_entry[الشهر],D4,data_entry[نوع الشكوي],$A15)</f>
        <v>0</v>
      </c>
      <c r="E15" s="4">
        <f>COUNTIFS(data_entry[الشهر],E4,data_entry[نوع الشكوي],$A15)</f>
        <v>0</v>
      </c>
      <c r="F15" s="4">
        <f>COUNTIFS(data_entry[الشهر],F4,data_entry[نوع الشكوي],$A15)</f>
        <v>0</v>
      </c>
      <c r="G15" s="4">
        <f>COUNTIFS(data_entry[الشهر],G4,data_entry[نوع الشكوي],$A15)</f>
        <v>0</v>
      </c>
      <c r="H15" s="4">
        <f>COUNTIFS(data_entry[الشهر],H4,data_entry[نوع الشكوي],$A15)</f>
        <v>0</v>
      </c>
      <c r="I15" s="4">
        <f>COUNTIFS(data_entry[الشهر],I4,data_entry[نوع الشكوي],$A15)</f>
        <v>0</v>
      </c>
      <c r="J15" s="4">
        <f>COUNTIFS(data_entry[الشهر],J4,data_entry[نوع الشكوي],$A15)</f>
        <v>0</v>
      </c>
      <c r="K15" s="4">
        <f>COUNTIFS(data_entry[الشهر],K4,data_entry[نوع الشكوي],$A15)</f>
        <v>0</v>
      </c>
      <c r="L15" s="4">
        <f>COUNTIFS(data_entry[الشهر],L4,data_entry[نوع الشكوي],$A15)</f>
        <v>0</v>
      </c>
      <c r="M15" s="4">
        <f>COUNTIFS(data_entry[الشهر],M4,data_entry[نوع الشكوي],$A15)</f>
        <v>0</v>
      </c>
    </row>
    <row r="16" spans="1:13" x14ac:dyDescent="0.35">
      <c r="A16" s="9" t="s">
        <v>10</v>
      </c>
      <c r="B16" s="4">
        <f>COUNTIFS(data_entry[الشهر],B4,data_entry[نوع الشكوي],$A16)</f>
        <v>0</v>
      </c>
      <c r="C16" s="4">
        <f>COUNTIFS(data_entry[الشهر],C4,data_entry[نوع الشكوي],$A16)</f>
        <v>0</v>
      </c>
      <c r="D16" s="4">
        <f>COUNTIFS(data_entry[الشهر],D4,data_entry[نوع الشكوي],$A16)</f>
        <v>0</v>
      </c>
      <c r="E16" s="4">
        <f>COUNTIFS(data_entry[الشهر],E4,data_entry[نوع الشكوي],$A16)</f>
        <v>0</v>
      </c>
      <c r="F16" s="4">
        <f>COUNTIFS(data_entry[الشهر],F4,data_entry[نوع الشكوي],$A16)</f>
        <v>0</v>
      </c>
      <c r="G16" s="4">
        <f>COUNTIFS(data_entry[الشهر],G4,data_entry[نوع الشكوي],$A16)</f>
        <v>1</v>
      </c>
      <c r="H16" s="4">
        <f>COUNTIFS(data_entry[الشهر],H4,data_entry[نوع الشكوي],$A16)</f>
        <v>0</v>
      </c>
      <c r="I16" s="4">
        <f>COUNTIFS(data_entry[الشهر],I4,data_entry[نوع الشكوي],$A16)</f>
        <v>0</v>
      </c>
      <c r="J16" s="4">
        <f>COUNTIFS(data_entry[الشهر],J4,data_entry[نوع الشكوي],$A16)</f>
        <v>0</v>
      </c>
      <c r="K16" s="4">
        <f>COUNTIFS(data_entry[الشهر],K4,data_entry[نوع الشكوي],$A16)</f>
        <v>0</v>
      </c>
      <c r="L16" s="4">
        <f>COUNTIFS(data_entry[الشهر],L4,data_entry[نوع الشكوي],$A16)</f>
        <v>0</v>
      </c>
      <c r="M16" s="4">
        <f>COUNTIFS(data_entry[الشهر],M4,data_entry[نوع الشكوي],$A16)</f>
        <v>0</v>
      </c>
    </row>
    <row r="17" spans="1:13" x14ac:dyDescent="0.35">
      <c r="A17" s="9" t="s">
        <v>11</v>
      </c>
      <c r="B17" s="4">
        <f>COUNTIFS(data_entry[الشهر],B4,data_entry[نوع الشكوي],$A17)</f>
        <v>0</v>
      </c>
      <c r="C17" s="4">
        <f>COUNTIFS(data_entry[الشهر],C4,data_entry[نوع الشكوي],$A17)</f>
        <v>0</v>
      </c>
      <c r="D17" s="4">
        <f>COUNTIFS(data_entry[الشهر],D4,data_entry[نوع الشكوي],$A17)</f>
        <v>0</v>
      </c>
      <c r="E17" s="4">
        <f>COUNTIFS(data_entry[الشهر],E4,data_entry[نوع الشكوي],$A17)</f>
        <v>0</v>
      </c>
      <c r="F17" s="4">
        <f>COUNTIFS(data_entry[الشهر],F4,data_entry[نوع الشكوي],$A17)</f>
        <v>0</v>
      </c>
      <c r="G17" s="4">
        <f>COUNTIFS(data_entry[الشهر],G4,data_entry[نوع الشكوي],$A17)</f>
        <v>0</v>
      </c>
      <c r="H17" s="4">
        <f>COUNTIFS(data_entry[الشهر],H4,data_entry[نوع الشكوي],$A17)</f>
        <v>1</v>
      </c>
      <c r="I17" s="4">
        <f>COUNTIFS(data_entry[الشهر],I4,data_entry[نوع الشكوي],$A17)</f>
        <v>0</v>
      </c>
      <c r="J17" s="4">
        <f>COUNTIFS(data_entry[الشهر],J4,data_entry[نوع الشكوي],$A17)</f>
        <v>0</v>
      </c>
      <c r="K17" s="4">
        <f>COUNTIFS(data_entry[الشهر],K4,data_entry[نوع الشكوي],$A17)</f>
        <v>0</v>
      </c>
      <c r="L17" s="4">
        <f>COUNTIFS(data_entry[الشهر],L4,data_entry[نوع الشكوي],$A17)</f>
        <v>0</v>
      </c>
      <c r="M17" s="4">
        <f>COUNTIFS(data_entry[الشهر],M4,data_entry[نوع الشكوي],$A17)</f>
        <v>0</v>
      </c>
    </row>
    <row r="18" spans="1:13" x14ac:dyDescent="0.35">
      <c r="A18" s="9" t="s">
        <v>12</v>
      </c>
      <c r="B18" s="4">
        <f>COUNTIFS(data_entry[الشهر],B4,data_entry[نوع الشكوي],$A18)</f>
        <v>0</v>
      </c>
      <c r="C18" s="4">
        <f>COUNTIFS(data_entry[الشهر],C4,data_entry[نوع الشكوي],$A18)</f>
        <v>0</v>
      </c>
      <c r="D18" s="4">
        <f>COUNTIFS(data_entry[الشهر],D4,data_entry[نوع الشكوي],$A18)</f>
        <v>0</v>
      </c>
      <c r="E18" s="4">
        <f>COUNTIFS(data_entry[الشهر],E4,data_entry[نوع الشكوي],$A18)</f>
        <v>0</v>
      </c>
      <c r="F18" s="4">
        <f>COUNTIFS(data_entry[الشهر],F4,data_entry[نوع الشكوي],$A18)</f>
        <v>0</v>
      </c>
      <c r="G18" s="4">
        <f>COUNTIFS(data_entry[الشهر],G4,data_entry[نوع الشكوي],$A18)</f>
        <v>1</v>
      </c>
      <c r="H18" s="4">
        <f>COUNTIFS(data_entry[الشهر],H4,data_entry[نوع الشكوي],$A18)</f>
        <v>0</v>
      </c>
      <c r="I18" s="4">
        <f>COUNTIFS(data_entry[الشهر],I4,data_entry[نوع الشكوي],$A18)</f>
        <v>0</v>
      </c>
      <c r="J18" s="4">
        <f>COUNTIFS(data_entry[الشهر],J4,data_entry[نوع الشكوي],$A18)</f>
        <v>0</v>
      </c>
      <c r="K18" s="4">
        <f>COUNTIFS(data_entry[الشهر],K4,data_entry[نوع الشكوي],$A18)</f>
        <v>0</v>
      </c>
      <c r="L18" s="4">
        <f>COUNTIFS(data_entry[الشهر],L4,data_entry[نوع الشكوي],$A18)</f>
        <v>0</v>
      </c>
      <c r="M18" s="4">
        <f>COUNTIFS(data_entry[الشهر],M4,data_entry[نوع الشكوي],$A18)</f>
        <v>0</v>
      </c>
    </row>
    <row r="19" spans="1:13" x14ac:dyDescent="0.35">
      <c r="A19" s="9" t="s">
        <v>13</v>
      </c>
      <c r="B19" s="4">
        <f>COUNTIFS(data_entry[الشهر],B4,data_entry[نوع الشكوي],$A19)</f>
        <v>0</v>
      </c>
      <c r="C19" s="4">
        <f>COUNTIFS(data_entry[الشهر],C4,data_entry[نوع الشكوي],$A19)</f>
        <v>0</v>
      </c>
      <c r="D19" s="4">
        <f>COUNTIFS(data_entry[الشهر],D4,data_entry[نوع الشكوي],$A19)</f>
        <v>0</v>
      </c>
      <c r="E19" s="4">
        <f>COUNTIFS(data_entry[الشهر],E4,data_entry[نوع الشكوي],$A19)</f>
        <v>0</v>
      </c>
      <c r="F19" s="4">
        <f>COUNTIFS(data_entry[الشهر],F4,data_entry[نوع الشكوي],$A19)</f>
        <v>0</v>
      </c>
      <c r="G19" s="4">
        <f>COUNTIFS(data_entry[الشهر],G4,data_entry[نوع الشكوي],$A19)</f>
        <v>0</v>
      </c>
      <c r="H19" s="4">
        <f>COUNTIFS(data_entry[الشهر],H4,data_entry[نوع الشكوي],$A19)</f>
        <v>0</v>
      </c>
      <c r="I19" s="4">
        <f>COUNTIFS(data_entry[الشهر],I4,data_entry[نوع الشكوي],$A19)</f>
        <v>0</v>
      </c>
      <c r="J19" s="4">
        <f>COUNTIFS(data_entry[الشهر],J4,data_entry[نوع الشكوي],$A19)</f>
        <v>0</v>
      </c>
      <c r="K19" s="4">
        <f>COUNTIFS(data_entry[الشهر],K4,data_entry[نوع الشكوي],$A19)</f>
        <v>0</v>
      </c>
      <c r="L19" s="4">
        <f>COUNTIFS(data_entry[الشهر],L4,data_entry[نوع الشكوي],$A19)</f>
        <v>0</v>
      </c>
      <c r="M19" s="4">
        <f>COUNTIFS(data_entry[الشهر],M4,data_entry[نوع الشكوي],$A19)</f>
        <v>0</v>
      </c>
    </row>
    <row r="20" spans="1:13" x14ac:dyDescent="0.35">
      <c r="A20" s="9" t="s">
        <v>14</v>
      </c>
      <c r="B20" s="4">
        <f>COUNTIFS(data_entry[الشهر],B4,data_entry[نوع الشكوي],$A20)</f>
        <v>0</v>
      </c>
      <c r="C20" s="4">
        <f>COUNTIFS(data_entry[الشهر],C4,data_entry[نوع الشكوي],$A20)</f>
        <v>0</v>
      </c>
      <c r="D20" s="4">
        <f>COUNTIFS(data_entry[الشهر],D4,data_entry[نوع الشكوي],$A20)</f>
        <v>0</v>
      </c>
      <c r="E20" s="4">
        <f>COUNTIFS(data_entry[الشهر],E4,data_entry[نوع الشكوي],$A20)</f>
        <v>0</v>
      </c>
      <c r="F20" s="4">
        <f>COUNTIFS(data_entry[الشهر],F4,data_entry[نوع الشكوي],$A20)</f>
        <v>0</v>
      </c>
      <c r="G20" s="4">
        <f>COUNTIFS(data_entry[الشهر],G4,data_entry[نوع الشكوي],$A20)</f>
        <v>0</v>
      </c>
      <c r="H20" s="4">
        <f>COUNTIFS(data_entry[الشهر],H4,data_entry[نوع الشكوي],$A20)</f>
        <v>0</v>
      </c>
      <c r="I20" s="4">
        <f>COUNTIFS(data_entry[الشهر],I4,data_entry[نوع الشكوي],$A20)</f>
        <v>0</v>
      </c>
      <c r="J20" s="4">
        <f>COUNTIFS(data_entry[الشهر],J4,data_entry[نوع الشكوي],$A20)</f>
        <v>0</v>
      </c>
      <c r="K20" s="4">
        <f>COUNTIFS(data_entry[الشهر],K4,data_entry[نوع الشكوي],$A20)</f>
        <v>0</v>
      </c>
      <c r="L20" s="4">
        <f>COUNTIFS(data_entry[الشهر],L4,data_entry[نوع الشكوي],$A20)</f>
        <v>0</v>
      </c>
      <c r="M20" s="4">
        <f>COUNTIFS(data_entry[الشهر],M4,data_entry[نوع الشكوي],$A20)</f>
        <v>0</v>
      </c>
    </row>
    <row r="21" spans="1:13" x14ac:dyDescent="0.35">
      <c r="A21" s="9" t="s">
        <v>15</v>
      </c>
      <c r="B21" s="4">
        <f>COUNTIFS(data_entry[الشهر],B4,data_entry[نوع الشكوي],$A21)</f>
        <v>0</v>
      </c>
      <c r="C21" s="4">
        <f>COUNTIFS(data_entry[الشهر],C4,data_entry[نوع الشكوي],$A21)</f>
        <v>0</v>
      </c>
      <c r="D21" s="4">
        <f>COUNTIFS(data_entry[الشهر],D4,data_entry[نوع الشكوي],$A21)</f>
        <v>0</v>
      </c>
      <c r="E21" s="4">
        <f>COUNTIFS(data_entry[الشهر],E4,data_entry[نوع الشكوي],$A21)</f>
        <v>0</v>
      </c>
      <c r="F21" s="4">
        <f>COUNTIFS(data_entry[الشهر],F4,data_entry[نوع الشكوي],$A21)</f>
        <v>0</v>
      </c>
      <c r="G21" s="4">
        <f>COUNTIFS(data_entry[الشهر],G4,data_entry[نوع الشكوي],$A21)</f>
        <v>0</v>
      </c>
      <c r="H21" s="4">
        <f>COUNTIFS(data_entry[الشهر],H4,data_entry[نوع الشكوي],$A21)</f>
        <v>0</v>
      </c>
      <c r="I21" s="4">
        <f>COUNTIFS(data_entry[الشهر],I4,data_entry[نوع الشكوي],$A21)</f>
        <v>0</v>
      </c>
      <c r="J21" s="4">
        <f>COUNTIFS(data_entry[الشهر],J4,data_entry[نوع الشكوي],$A21)</f>
        <v>0</v>
      </c>
      <c r="K21" s="4">
        <f>COUNTIFS(data_entry[الشهر],K4,data_entry[نوع الشكوي],$A21)</f>
        <v>0</v>
      </c>
      <c r="L21" s="4">
        <f>COUNTIFS(data_entry[الشهر],L4,data_entry[نوع الشكوي],$A21)</f>
        <v>0</v>
      </c>
      <c r="M21" s="4">
        <f>COUNTIFS(data_entry[الشهر],M4,data_entry[نوع الشكوي],$A21)</f>
        <v>0</v>
      </c>
    </row>
    <row r="22" spans="1:13" x14ac:dyDescent="0.35">
      <c r="A22" s="9" t="s">
        <v>16</v>
      </c>
      <c r="B22" s="4">
        <f>COUNTIFS(data_entry[الشهر],B4,data_entry[نوع الشكوي],$A22)</f>
        <v>0</v>
      </c>
      <c r="C22" s="4">
        <f>COUNTIFS(data_entry[الشهر],C4,data_entry[نوع الشكوي],$A22)</f>
        <v>0</v>
      </c>
      <c r="D22" s="4">
        <f>COUNTIFS(data_entry[الشهر],D4,data_entry[نوع الشكوي],$A22)</f>
        <v>0</v>
      </c>
      <c r="E22" s="4">
        <f>COUNTIFS(data_entry[الشهر],E4,data_entry[نوع الشكوي],$A22)</f>
        <v>0</v>
      </c>
      <c r="F22" s="4">
        <f>COUNTIFS(data_entry[الشهر],F4,data_entry[نوع الشكوي],$A22)</f>
        <v>0</v>
      </c>
      <c r="G22" s="4">
        <f>COUNTIFS(data_entry[الشهر],G4,data_entry[نوع الشكوي],$A22)</f>
        <v>0</v>
      </c>
      <c r="H22" s="4">
        <f>COUNTIFS(data_entry[الشهر],H4,data_entry[نوع الشكوي],$A22)</f>
        <v>0</v>
      </c>
      <c r="I22" s="4">
        <f>COUNTIFS(data_entry[الشهر],I4,data_entry[نوع الشكوي],$A22)</f>
        <v>0</v>
      </c>
      <c r="J22" s="4">
        <f>COUNTIFS(data_entry[الشهر],J4,data_entry[نوع الشكوي],$A22)</f>
        <v>0</v>
      </c>
      <c r="K22" s="4">
        <f>COUNTIFS(data_entry[الشهر],K4,data_entry[نوع الشكوي],$A22)</f>
        <v>0</v>
      </c>
      <c r="L22" s="4">
        <f>COUNTIFS(data_entry[الشهر],L4,data_entry[نوع الشكوي],$A22)</f>
        <v>0</v>
      </c>
      <c r="M22" s="4">
        <f>COUNTIFS(data_entry[الشهر],M4,data_entry[نوع الشكوي],$A22)</f>
        <v>0</v>
      </c>
    </row>
    <row r="23" spans="1:13" x14ac:dyDescent="0.35">
      <c r="A23" s="10" t="s">
        <v>18</v>
      </c>
      <c r="B23" s="4">
        <f>COUNTIFS(data_entry[الشهر],B4,data_entry[نوع الشكوي],$A23)</f>
        <v>0</v>
      </c>
      <c r="C23" s="4">
        <f>COUNTIFS(data_entry[الشهر],C4,data_entry[نوع الشكوي],$A23)</f>
        <v>0</v>
      </c>
      <c r="D23" s="4">
        <f>COUNTIFS(data_entry[الشهر],D4,data_entry[نوع الشكوي],$A23)</f>
        <v>0</v>
      </c>
      <c r="E23" s="4">
        <f>COUNTIFS(data_entry[الشهر],E4,data_entry[نوع الشكوي],$A23)</f>
        <v>0</v>
      </c>
      <c r="F23" s="4">
        <f>COUNTIFS(data_entry[الشهر],F4,data_entry[نوع الشكوي],$A23)</f>
        <v>0</v>
      </c>
      <c r="G23" s="4">
        <f>COUNTIFS(data_entry[الشهر],G4,data_entry[نوع الشكوي],$A23)</f>
        <v>0</v>
      </c>
      <c r="H23" s="4">
        <f>COUNTIFS(data_entry[الشهر],H4,data_entry[نوع الشكوي],$A23)</f>
        <v>0</v>
      </c>
      <c r="I23" s="4">
        <f>COUNTIFS(data_entry[الشهر],I4,data_entry[نوع الشكوي],$A23)</f>
        <v>0</v>
      </c>
      <c r="J23" s="4">
        <f>COUNTIFS(data_entry[الشهر],J4,data_entry[نوع الشكوي],$A23)</f>
        <v>0</v>
      </c>
      <c r="K23" s="4">
        <f>COUNTIFS(data_entry[الشهر],K4,data_entry[نوع الشكوي],$A23)</f>
        <v>0</v>
      </c>
      <c r="L23" s="4">
        <f>COUNTIFS(data_entry[الشهر],L4,data_entry[نوع الشكوي],$A23)</f>
        <v>0</v>
      </c>
      <c r="M23" s="4">
        <f>COUNTIFS(data_entry[الشهر],M4,data_entry[نوع الشكوي],$A23)</f>
        <v>0</v>
      </c>
    </row>
    <row r="24" spans="1:13" x14ac:dyDescent="0.35">
      <c r="A24" s="9" t="s">
        <v>19</v>
      </c>
      <c r="B24" s="4">
        <f>COUNTIFS(data_entry[الشهر],B4,data_entry[نوع الشكوي],$A24)</f>
        <v>0</v>
      </c>
      <c r="C24" s="4">
        <f>COUNTIFS(data_entry[الشهر],C4,data_entry[نوع الشكوي],$A24)</f>
        <v>0</v>
      </c>
      <c r="D24" s="4">
        <f>COUNTIFS(data_entry[الشهر],D4,data_entry[نوع الشكوي],$A24)</f>
        <v>0</v>
      </c>
      <c r="E24" s="4">
        <f>COUNTIFS(data_entry[الشهر],E4,data_entry[نوع الشكوي],$A24)</f>
        <v>0</v>
      </c>
      <c r="F24" s="4">
        <f>COUNTIFS(data_entry[الشهر],F4,data_entry[نوع الشكوي],$A24)</f>
        <v>0</v>
      </c>
      <c r="G24" s="4">
        <f>COUNTIFS(data_entry[الشهر],G4,data_entry[نوع الشكوي],$A24)</f>
        <v>0</v>
      </c>
      <c r="H24" s="4">
        <f>COUNTIFS(data_entry[الشهر],H4,data_entry[نوع الشكوي],$A24)</f>
        <v>0</v>
      </c>
      <c r="I24" s="4">
        <f>COUNTIFS(data_entry[الشهر],I4,data_entry[نوع الشكوي],$A24)</f>
        <v>0</v>
      </c>
      <c r="J24" s="4">
        <f>COUNTIFS(data_entry[الشهر],J4,data_entry[نوع الشكوي],$A24)</f>
        <v>0</v>
      </c>
      <c r="K24" s="4">
        <f>COUNTIFS(data_entry[الشهر],K4,data_entry[نوع الشكوي],$A24)</f>
        <v>0</v>
      </c>
      <c r="L24" s="4">
        <f>COUNTIFS(data_entry[الشهر],L4,data_entry[نوع الشكوي],$A24)</f>
        <v>0</v>
      </c>
      <c r="M24" s="4">
        <f>COUNTIFS(data_entry[الشهر],M4,data_entry[نوع الشكوي],$A24)</f>
        <v>0</v>
      </c>
    </row>
    <row r="25" spans="1:13" x14ac:dyDescent="0.35">
      <c r="A25" s="9" t="s">
        <v>20</v>
      </c>
      <c r="B25" s="4">
        <f>COUNTIFS(data_entry[الشهر],B4,data_entry[نوع الشكوي],$A25)</f>
        <v>0</v>
      </c>
      <c r="C25" s="4">
        <f>COUNTIFS(data_entry[الشهر],C4,data_entry[نوع الشكوي],$A25)</f>
        <v>0</v>
      </c>
      <c r="D25" s="4">
        <f>COUNTIFS(data_entry[الشهر],D4,data_entry[نوع الشكوي],$A25)</f>
        <v>0</v>
      </c>
      <c r="E25" s="4">
        <f>COUNTIFS(data_entry[الشهر],E4,data_entry[نوع الشكوي],$A25)</f>
        <v>0</v>
      </c>
      <c r="F25" s="4">
        <f>COUNTIFS(data_entry[الشهر],F4,data_entry[نوع الشكوي],$A25)</f>
        <v>0</v>
      </c>
      <c r="G25" s="4">
        <f>COUNTIFS(data_entry[الشهر],G4,data_entry[نوع الشكوي],$A25)</f>
        <v>0</v>
      </c>
      <c r="H25" s="4">
        <f>COUNTIFS(data_entry[الشهر],H4,data_entry[نوع الشكوي],$A25)</f>
        <v>0</v>
      </c>
      <c r="I25" s="4">
        <f>COUNTIFS(data_entry[الشهر],I4,data_entry[نوع الشكوي],$A25)</f>
        <v>0</v>
      </c>
      <c r="J25" s="4">
        <f>COUNTIFS(data_entry[الشهر],J4,data_entry[نوع الشكوي],$A25)</f>
        <v>0</v>
      </c>
      <c r="K25" s="4">
        <f>COUNTIFS(data_entry[الشهر],K4,data_entry[نوع الشكوي],$A25)</f>
        <v>0</v>
      </c>
      <c r="L25" s="4">
        <f>COUNTIFS(data_entry[الشهر],L4,data_entry[نوع الشكوي],$A25)</f>
        <v>0</v>
      </c>
      <c r="M25" s="4">
        <f>COUNTIFS(data_entry[الشهر],M4,data_entry[نوع الشكوي],$A25)</f>
        <v>0</v>
      </c>
    </row>
    <row r="26" spans="1:13" x14ac:dyDescent="0.35">
      <c r="A26" s="9" t="s">
        <v>21</v>
      </c>
      <c r="B26" s="4">
        <f>COUNTIFS(data_entry[الشهر],B4,data_entry[نوع الشكوي],$A26)</f>
        <v>0</v>
      </c>
      <c r="C26" s="4">
        <f>COUNTIFS(data_entry[الشهر],C4,data_entry[نوع الشكوي],$A26)</f>
        <v>0</v>
      </c>
      <c r="D26" s="4">
        <f>COUNTIFS(data_entry[الشهر],D4,data_entry[نوع الشكوي],$A26)</f>
        <v>0</v>
      </c>
      <c r="E26" s="4">
        <f>COUNTIFS(data_entry[الشهر],E4,data_entry[نوع الشكوي],$A26)</f>
        <v>0</v>
      </c>
      <c r="F26" s="4">
        <f>COUNTIFS(data_entry[الشهر],F4,data_entry[نوع الشكوي],$A26)</f>
        <v>0</v>
      </c>
      <c r="G26" s="4">
        <f>COUNTIFS(data_entry[الشهر],G4,data_entry[نوع الشكوي],$A26)</f>
        <v>0</v>
      </c>
      <c r="H26" s="4">
        <f>COUNTIFS(data_entry[الشهر],H4,data_entry[نوع الشكوي],$A26)</f>
        <v>0</v>
      </c>
      <c r="I26" s="4">
        <f>COUNTIFS(data_entry[الشهر],I4,data_entry[نوع الشكوي],$A26)</f>
        <v>0</v>
      </c>
      <c r="J26" s="4">
        <f>COUNTIFS(data_entry[الشهر],J4,data_entry[نوع الشكوي],$A26)</f>
        <v>0</v>
      </c>
      <c r="K26" s="4">
        <f>COUNTIFS(data_entry[الشهر],K4,data_entry[نوع الشكوي],$A26)</f>
        <v>0</v>
      </c>
      <c r="L26" s="4">
        <f>COUNTIFS(data_entry[الشهر],L4,data_entry[نوع الشكوي],$A26)</f>
        <v>0</v>
      </c>
      <c r="M26" s="4">
        <f>COUNTIFS(data_entry[الشهر],M4,data_entry[نوع الشكوي],$A26)</f>
        <v>0</v>
      </c>
    </row>
    <row r="27" spans="1:13" x14ac:dyDescent="0.35">
      <c r="A27" s="9"/>
    </row>
    <row r="28" spans="1:13" ht="24.75" customHeight="1" x14ac:dyDescent="0.35">
      <c r="A28" s="140" t="s">
        <v>221</v>
      </c>
      <c r="B28" s="140"/>
      <c r="C28" s="140"/>
      <c r="D28" s="140"/>
      <c r="E28" s="140"/>
      <c r="F28" s="140"/>
      <c r="G28" s="140"/>
      <c r="H28" s="140"/>
      <c r="I28" s="140"/>
      <c r="J28" s="140"/>
      <c r="K28" s="140"/>
      <c r="L28" s="140"/>
      <c r="M28" s="140"/>
    </row>
    <row r="29" spans="1:13" x14ac:dyDescent="0.35">
      <c r="A29" s="13" t="s">
        <v>67</v>
      </c>
      <c r="B29" s="4">
        <f>تدريب!C4</f>
        <v>12</v>
      </c>
      <c r="C29" s="19"/>
      <c r="D29" s="19"/>
      <c r="E29" s="4">
        <f>تدريب!F4</f>
        <v>12</v>
      </c>
      <c r="F29" s="19"/>
      <c r="G29" s="19"/>
      <c r="H29" s="17">
        <f>تدريب!I4</f>
        <v>0</v>
      </c>
      <c r="I29" s="19"/>
      <c r="J29" s="19"/>
      <c r="K29" s="17">
        <f>تدريب!L4</f>
        <v>0</v>
      </c>
      <c r="L29" s="19"/>
      <c r="M29" s="19"/>
    </row>
    <row r="30" spans="1:13" s="143" customFormat="1" x14ac:dyDescent="0.35">
      <c r="A30" s="141" t="s">
        <v>66</v>
      </c>
      <c r="B30" s="142">
        <f>تدريب!C5</f>
        <v>20</v>
      </c>
      <c r="C30" s="142"/>
      <c r="D30" s="142"/>
      <c r="E30" s="142">
        <f>تدريب!F5</f>
        <v>25</v>
      </c>
      <c r="F30" s="142"/>
      <c r="G30" s="142"/>
      <c r="H30" s="142">
        <f>تدريب!I5</f>
        <v>0</v>
      </c>
      <c r="I30" s="142"/>
      <c r="J30" s="142"/>
      <c r="K30" s="142">
        <f>تدريب!L5</f>
        <v>0</v>
      </c>
      <c r="L30" s="142"/>
      <c r="M30" s="142"/>
    </row>
    <row r="31" spans="1:13" x14ac:dyDescent="0.35">
      <c r="A31" s="13" t="s">
        <v>69</v>
      </c>
      <c r="B31" s="4">
        <f>B29+B30</f>
        <v>32</v>
      </c>
      <c r="C31" s="19"/>
      <c r="D31" s="19"/>
      <c r="E31" s="4">
        <f t="shared" ref="E31:K31" si="0">E29+E30</f>
        <v>37</v>
      </c>
      <c r="F31" s="19"/>
      <c r="G31" s="19"/>
      <c r="H31" s="17">
        <f t="shared" si="0"/>
        <v>0</v>
      </c>
      <c r="I31" s="19"/>
      <c r="J31" s="19"/>
      <c r="K31" s="17">
        <f t="shared" si="0"/>
        <v>0</v>
      </c>
      <c r="L31" s="19"/>
      <c r="M31" s="19"/>
    </row>
    <row r="32" spans="1:13" s="143" customFormat="1" x14ac:dyDescent="0.35">
      <c r="A32" s="144" t="s">
        <v>73</v>
      </c>
      <c r="B32" s="142">
        <f>تدريب!C6</f>
        <v>60</v>
      </c>
      <c r="C32" s="142"/>
      <c r="D32" s="142"/>
      <c r="E32" s="142">
        <f>تدريب!F6</f>
        <v>65</v>
      </c>
      <c r="F32" s="142"/>
      <c r="G32" s="142"/>
      <c r="H32" s="142">
        <f>تدريب!I6</f>
        <v>0</v>
      </c>
      <c r="I32" s="142"/>
      <c r="J32" s="142"/>
      <c r="K32" s="142">
        <f>تدريب!L6</f>
        <v>0</v>
      </c>
      <c r="L32" s="142"/>
      <c r="M32" s="142"/>
    </row>
    <row r="33" spans="1:13" x14ac:dyDescent="0.35">
      <c r="A33" s="15" t="s">
        <v>74</v>
      </c>
      <c r="B33" s="4">
        <f>تدريب!C7</f>
        <v>6</v>
      </c>
      <c r="C33" s="19"/>
      <c r="D33" s="19"/>
      <c r="E33" s="4">
        <f>تدريب!F7</f>
        <v>6</v>
      </c>
      <c r="F33" s="19"/>
      <c r="G33" s="19"/>
      <c r="H33" s="17">
        <f>تدريب!I7</f>
        <v>0</v>
      </c>
      <c r="I33" s="19"/>
      <c r="J33" s="19"/>
      <c r="K33" s="17">
        <f>تدريب!L7</f>
        <v>0</v>
      </c>
      <c r="L33" s="19"/>
      <c r="M33" s="19"/>
    </row>
    <row r="34" spans="1:13" s="143" customFormat="1" x14ac:dyDescent="0.35">
      <c r="A34" s="145" t="s">
        <v>65</v>
      </c>
      <c r="B34" s="142">
        <f>تدريب!C8</f>
        <v>15</v>
      </c>
      <c r="C34" s="142"/>
      <c r="D34" s="142"/>
      <c r="E34" s="142">
        <f>تدريب!F8</f>
        <v>15</v>
      </c>
      <c r="F34" s="142"/>
      <c r="G34" s="142"/>
      <c r="H34" s="142">
        <f>تدريب!I8</f>
        <v>0</v>
      </c>
      <c r="I34" s="142"/>
      <c r="J34" s="142"/>
      <c r="K34" s="142">
        <f>تدريب!L8</f>
        <v>0</v>
      </c>
      <c r="L34" s="142"/>
      <c r="M34" s="142"/>
    </row>
    <row r="35" spans="1:13" ht="15" customHeight="1" x14ac:dyDescent="0.35">
      <c r="A35" s="16" t="s">
        <v>68</v>
      </c>
      <c r="B35" s="14">
        <f>تدريب!C9</f>
        <v>12</v>
      </c>
      <c r="C35" s="20"/>
      <c r="D35" s="20"/>
      <c r="E35" s="14">
        <f>تدريب!F9</f>
        <v>12</v>
      </c>
      <c r="F35" s="20"/>
      <c r="G35" s="20"/>
      <c r="H35" s="18">
        <f>تدريب!I9</f>
        <v>0</v>
      </c>
      <c r="I35" s="20"/>
      <c r="J35" s="20"/>
      <c r="K35" s="18">
        <f>تدريب!L9</f>
        <v>0</v>
      </c>
      <c r="L35" s="20"/>
      <c r="M35" s="20"/>
    </row>
    <row r="36" spans="1:13" s="138" customFormat="1" ht="15" customHeight="1" x14ac:dyDescent="0.35">
      <c r="A36" s="146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</row>
    <row r="37" spans="1:13" ht="24.75" customHeight="1" x14ac:dyDescent="0.35">
      <c r="A37" s="147" t="s">
        <v>222</v>
      </c>
      <c r="B37" s="147"/>
      <c r="C37" s="147"/>
      <c r="D37" s="147"/>
      <c r="E37" s="147"/>
      <c r="F37" s="147"/>
      <c r="G37" s="147"/>
      <c r="H37" s="147"/>
      <c r="I37" s="147"/>
      <c r="J37" s="147"/>
      <c r="K37" s="147"/>
      <c r="L37" s="147"/>
      <c r="M37" s="147"/>
    </row>
    <row r="38" spans="1:13" s="150" customFormat="1" x14ac:dyDescent="0.35">
      <c r="A38" s="148" t="s">
        <v>107</v>
      </c>
      <c r="B38" s="149">
        <f>COUNTIFS('الإفاقة القلبية'!$O:$O, TEXT(B4,"mmm-yyyy"))</f>
        <v>0</v>
      </c>
      <c r="C38" s="149">
        <f>COUNTIFS('الإفاقة القلبية'!$O:$O, TEXT(C4,"mmm-yyyy"))</f>
        <v>0</v>
      </c>
      <c r="D38" s="149">
        <f>COUNTIFS('الإفاقة القلبية'!$O:$O, TEXT(D4,"mmm-yyyy"))</f>
        <v>0</v>
      </c>
      <c r="E38" s="149">
        <f>COUNTIFS('الإفاقة القلبية'!$O:$O, TEXT(E4,"mmm-yyyy"))</f>
        <v>0</v>
      </c>
      <c r="F38" s="149">
        <f>COUNTIFS('الإفاقة القلبية'!$O:$O, TEXT(F4,"mmm-yyyy"))</f>
        <v>0</v>
      </c>
      <c r="G38" s="149">
        <f>COUNTIFS('الإفاقة القلبية'!$O:$O, TEXT(G4,"mmm-yyyy"))</f>
        <v>2</v>
      </c>
      <c r="H38" s="149">
        <f>COUNTIFS('الإفاقة القلبية'!$O:$O, TEXT(H4,"mmm-yyyy"))</f>
        <v>0</v>
      </c>
      <c r="I38" s="149">
        <f>COUNTIFS('الإفاقة القلبية'!$O:$O, TEXT(I4,"mmm-yyyy"))</f>
        <v>0</v>
      </c>
      <c r="J38" s="149">
        <f>COUNTIFS('الإفاقة القلبية'!$O:$O, TEXT(J4,"mmm-yyyy"))</f>
        <v>0</v>
      </c>
      <c r="K38" s="149">
        <f>COUNTIFS('الإفاقة القلبية'!$O:$O, TEXT(K4,"mmm-yyyy"))</f>
        <v>0</v>
      </c>
      <c r="L38" s="149">
        <f>COUNTIFS('الإفاقة القلبية'!$O:$O, TEXT(L4,"mmm-yyyy"))</f>
        <v>0</v>
      </c>
      <c r="M38" s="149">
        <f>COUNTIFS('الإفاقة القلبية'!$O:$O, TEXT(M4,"mmm-yyyy"))</f>
        <v>0</v>
      </c>
    </row>
    <row r="39" spans="1:13" x14ac:dyDescent="0.35">
      <c r="A39" s="9" t="s">
        <v>101</v>
      </c>
      <c r="B39" s="4">
        <f>COUNTIFS('الإفاقة القلبية'!$O:$O, TEXT(B4,"mmm-yyyy"), 'الإفاقة القلبية'!$M:$M, "نجاة")</f>
        <v>0</v>
      </c>
      <c r="C39" s="4">
        <f>COUNTIFS('الإفاقة القلبية'!$O:$O, TEXT(C4,"mmm-yyyy"), 'الإفاقة القلبية'!$M:$M, "نجاة")</f>
        <v>0</v>
      </c>
      <c r="D39" s="4">
        <f>COUNTIFS('الإفاقة القلبية'!$O:$O, TEXT(D4,"mmm-yyyy"), 'الإفاقة القلبية'!$M:$M, "نجاة")</f>
        <v>0</v>
      </c>
      <c r="E39" s="4">
        <f>COUNTIFS('الإفاقة القلبية'!$O:$O, TEXT(E4,"mmm-yyyy"), 'الإفاقة القلبية'!$M:$M, "نجاة")</f>
        <v>0</v>
      </c>
      <c r="F39" s="4">
        <f>COUNTIFS('الإفاقة القلبية'!$O:$O, TEXT(F4,"mmm-yyyy"), 'الإفاقة القلبية'!$M:$M, "نجاة")</f>
        <v>0</v>
      </c>
      <c r="G39" s="4">
        <f>COUNTIFS('الإفاقة القلبية'!$O:$O, TEXT(G4,"mmm-yyyy"), 'الإفاقة القلبية'!$M:$M, "نجاة")</f>
        <v>0</v>
      </c>
      <c r="H39" s="4">
        <f>COUNTIFS('الإفاقة القلبية'!$O:$O, TEXT(H4,"mmm-yyyy"), 'الإفاقة القلبية'!$M:$M, "نجاة")</f>
        <v>0</v>
      </c>
      <c r="I39" s="4">
        <f>COUNTIFS('الإفاقة القلبية'!$O:$O, TEXT(I4,"mmm-yyyy"), 'الإفاقة القلبية'!$M:$M, "نجاة")</f>
        <v>0</v>
      </c>
      <c r="J39" s="4">
        <f>COUNTIFS('الإفاقة القلبية'!$O:$O, TEXT(J4,"mmm-yyyy"), 'الإفاقة القلبية'!$M:$M, "نجاة")</f>
        <v>0</v>
      </c>
      <c r="K39" s="4">
        <f>COUNTIFS('الإفاقة القلبية'!$O:$O, TEXT(K4,"mmm-yyyy"), 'الإفاقة القلبية'!$M:$M, "نجاة")</f>
        <v>0</v>
      </c>
      <c r="L39" s="4">
        <f>COUNTIFS('الإفاقة القلبية'!$O:$O, TEXT(L4,"mmm-yyyy"), 'الإفاقة القلبية'!$M:$M, "نجاة")</f>
        <v>0</v>
      </c>
      <c r="M39" s="4">
        <f>COUNTIFS('الإفاقة القلبية'!$O:$O, TEXT(M4,"mmm-yyyy"), 'الإفاقة القلبية'!$M:$M, "نجاة")</f>
        <v>0</v>
      </c>
    </row>
    <row r="40" spans="1:13" s="150" customFormat="1" x14ac:dyDescent="0.35">
      <c r="A40" s="148" t="s">
        <v>102</v>
      </c>
      <c r="B40" s="149">
        <f>COUNTIFS('الإفاقة القلبية'!$O:$O, TEXT(B4,"mmm-yyyy"), 'الإفاقة القلبية'!$M:$M, "وفاة")</f>
        <v>0</v>
      </c>
      <c r="C40" s="149">
        <f>COUNTIFS('الإفاقة القلبية'!$O:$O, TEXT(C4,"mmm-yyyy"), 'الإفاقة القلبية'!$M:$M, "وفاة")</f>
        <v>0</v>
      </c>
      <c r="D40" s="149">
        <f>COUNTIFS('الإفاقة القلبية'!$O:$O, TEXT(D4,"mmm-yyyy"), 'الإفاقة القلبية'!$M:$M, "وفاة")</f>
        <v>0</v>
      </c>
      <c r="E40" s="149">
        <f>COUNTIFS('الإفاقة القلبية'!$O:$O, TEXT(E4,"mmm-yyyy"), 'الإفاقة القلبية'!$M:$M, "وفاة")</f>
        <v>0</v>
      </c>
      <c r="F40" s="149">
        <f>COUNTIFS('الإفاقة القلبية'!$O:$O, TEXT(F4,"mmm-yyyy"), 'الإفاقة القلبية'!$M:$M, "وفاة")</f>
        <v>0</v>
      </c>
      <c r="G40" s="149">
        <f>COUNTIFS('الإفاقة القلبية'!$O:$O, TEXT(G4,"mmm-yyyy"), 'الإفاقة القلبية'!$M:$M, "وفاة")</f>
        <v>1</v>
      </c>
      <c r="H40" s="149">
        <f>COUNTIFS('الإفاقة القلبية'!$O:$O, TEXT(H4,"mmm-yyyy"), 'الإفاقة القلبية'!$M:$M, "وفاة")</f>
        <v>0</v>
      </c>
      <c r="I40" s="149">
        <f>COUNTIFS('الإفاقة القلبية'!$O:$O, TEXT(I4,"mmm-yyyy"), 'الإفاقة القلبية'!$M:$M, "وفاة")</f>
        <v>0</v>
      </c>
      <c r="J40" s="149">
        <f>COUNTIFS('الإفاقة القلبية'!$O:$O, TEXT(J4,"mmm-yyyy"), 'الإفاقة القلبية'!$M:$M, "وفاة")</f>
        <v>0</v>
      </c>
      <c r="K40" s="149">
        <f>COUNTIFS('الإفاقة القلبية'!$O:$O, TEXT(K4,"mmm-yyyy"), 'الإفاقة القلبية'!$M:$M, "وفاة")</f>
        <v>0</v>
      </c>
      <c r="L40" s="149">
        <f>COUNTIFS('الإفاقة القلبية'!$O:$O, TEXT(L4,"mmm-yyyy"), 'الإفاقة القلبية'!$M:$M, "وفاة")</f>
        <v>0</v>
      </c>
      <c r="M40" s="149">
        <f>COUNTIFS('الإفاقة القلبية'!$O:$O, TEXT(M4,"mmm-yyyy"), 'الإفاقة القلبية'!$M:$M, "وفاة")</f>
        <v>0</v>
      </c>
    </row>
    <row r="41" spans="1:13" x14ac:dyDescent="0.35">
      <c r="A41" s="9" t="s">
        <v>103</v>
      </c>
      <c r="B41" s="4" t="s">
        <v>25</v>
      </c>
      <c r="C41" s="4" t="s">
        <v>25</v>
      </c>
      <c r="D41" s="4" t="s">
        <v>25</v>
      </c>
      <c r="E41" s="4" t="s">
        <v>25</v>
      </c>
      <c r="F41" s="4" t="s">
        <v>25</v>
      </c>
      <c r="G41" s="4" t="s">
        <v>25</v>
      </c>
      <c r="H41" s="4" t="s">
        <v>25</v>
      </c>
      <c r="I41" s="4" t="s">
        <v>25</v>
      </c>
      <c r="J41" s="4" t="s">
        <v>25</v>
      </c>
      <c r="K41" s="4" t="s">
        <v>25</v>
      </c>
      <c r="L41" s="4" t="s">
        <v>25</v>
      </c>
      <c r="M41" s="4" t="s">
        <v>25</v>
      </c>
    </row>
    <row r="42" spans="1:13" s="150" customFormat="1" x14ac:dyDescent="0.35">
      <c r="A42" s="148" t="s">
        <v>104</v>
      </c>
      <c r="B42" s="149" t="s">
        <v>25</v>
      </c>
      <c r="C42" s="149" t="s">
        <v>25</v>
      </c>
      <c r="D42" s="149" t="s">
        <v>25</v>
      </c>
      <c r="E42" s="149" t="s">
        <v>25</v>
      </c>
      <c r="F42" s="149" t="s">
        <v>25</v>
      </c>
      <c r="G42" s="149" t="s">
        <v>25</v>
      </c>
      <c r="H42" s="149" t="s">
        <v>25</v>
      </c>
      <c r="I42" s="149" t="s">
        <v>25</v>
      </c>
      <c r="J42" s="149" t="s">
        <v>25</v>
      </c>
      <c r="K42" s="149" t="s">
        <v>25</v>
      </c>
      <c r="L42" s="149" t="s">
        <v>25</v>
      </c>
      <c r="M42" s="149" t="s">
        <v>25</v>
      </c>
    </row>
    <row r="43" spans="1:13" x14ac:dyDescent="0.35">
      <c r="A43" s="9" t="s">
        <v>110</v>
      </c>
      <c r="B43" s="4">
        <f>COUNTIFS('الإفاقة القلبية'!$O:$O, TEXT(B$4,"mmm-yyyy"), 'الإفاقة القلبية'!$I:$I, "&gt;0")</f>
        <v>0</v>
      </c>
      <c r="C43" s="4">
        <f>COUNTIFS('الإفاقة القلبية'!$O:$O, TEXT(C$4,"mmm-yyyy"), 'الإفاقة القلبية'!$I:$I, "&gt;0")</f>
        <v>0</v>
      </c>
      <c r="D43" s="4">
        <f>COUNTIFS('الإفاقة القلبية'!$O:$O, TEXT(D$4,"mmm-yyyy"), 'الإفاقة القلبية'!$I:$I, "&gt;0")</f>
        <v>0</v>
      </c>
      <c r="E43" s="4">
        <f>COUNTIFS('الإفاقة القلبية'!$O:$O, TEXT(E$4,"mmm-yyyy"), 'الإفاقة القلبية'!$I:$I, "&gt;0")</f>
        <v>0</v>
      </c>
      <c r="F43" s="4">
        <f>COUNTIFS('الإفاقة القلبية'!$O:$O, TEXT(F$4,"mmm-yyyy"), 'الإفاقة القلبية'!$I:$I, "&gt;0")</f>
        <v>0</v>
      </c>
      <c r="G43" s="4">
        <f>COUNTIFS('الإفاقة القلبية'!$O:$O, TEXT(G$4,"mmm-yyyy"), 'الإفاقة القلبية'!$I:$I, "&gt;0")</f>
        <v>2</v>
      </c>
      <c r="H43" s="4">
        <f>COUNTIFS('الإفاقة القلبية'!$O:$O, TEXT(H$4,"mmm-yyyy"), 'الإفاقة القلبية'!$I:$I, "&gt;0")</f>
        <v>0</v>
      </c>
      <c r="I43" s="4">
        <f>COUNTIFS('الإفاقة القلبية'!$O:$O, TEXT(I$4,"mmm-yyyy"), 'الإفاقة القلبية'!$I:$I, "&gt;0")</f>
        <v>0</v>
      </c>
      <c r="J43" s="4">
        <f>COUNTIFS('الإفاقة القلبية'!$O:$O, TEXT(J$4,"mmm-yyyy"), 'الإفاقة القلبية'!$I:$I, "&gt;0")</f>
        <v>0</v>
      </c>
      <c r="K43" s="4">
        <f>COUNTIFS('الإفاقة القلبية'!$O:$O, TEXT(K$4,"mmm-yyyy"), 'الإفاقة القلبية'!$I:$I, "&gt;0")</f>
        <v>0</v>
      </c>
      <c r="L43" s="4">
        <f>COUNTIFS('الإفاقة القلبية'!$O:$O, TEXT(L$4,"mmm-yyyy"), 'الإفاقة القلبية'!$I:$I, "&gt;0")</f>
        <v>0</v>
      </c>
      <c r="M43" s="4">
        <f>COUNTIFS('الإفاقة القلبية'!$O:$O, TEXT(M$4,"mmm-yyyy"), 'الإفاقة القلبية'!$I:$I, "&gt;0")</f>
        <v>0</v>
      </c>
    </row>
    <row r="44" spans="1:13" s="150" customFormat="1" x14ac:dyDescent="0.35">
      <c r="A44" s="148" t="s">
        <v>105</v>
      </c>
      <c r="B44" s="151">
        <f>SUMIFS('الإفاقة القلبية'!$I:$I, 'الإفاقة القلبية'!$O:$O, TEXT(B$4,"mmm-yyyy"))</f>
        <v>0</v>
      </c>
      <c r="C44" s="151">
        <f>SUMIFS('الإفاقة القلبية'!$I:$I, 'الإفاقة القلبية'!$O:$O, TEXT(C$4,"mmm-yyyy"))</f>
        <v>0</v>
      </c>
      <c r="D44" s="151">
        <f>SUMIFS('الإفاقة القلبية'!$I:$I, 'الإفاقة القلبية'!$O:$O, TEXT(D$4,"mmm-yyyy"))</f>
        <v>0</v>
      </c>
      <c r="E44" s="151">
        <f>SUMIFS('الإفاقة القلبية'!$I:$I, 'الإفاقة القلبية'!$O:$O, TEXT(E$4,"mmm-yyyy"))</f>
        <v>0</v>
      </c>
      <c r="F44" s="151">
        <f>SUMIFS('الإفاقة القلبية'!$I:$I, 'الإفاقة القلبية'!$O:$O, TEXT(F$4,"mmm-yyyy"))</f>
        <v>0</v>
      </c>
      <c r="G44" s="151">
        <f>SUMIFS('الإفاقة القلبية'!$I:$I, 'الإفاقة القلبية'!$O:$O, TEXT(G$4,"mmm-yyyy"))</f>
        <v>1.5277777777777779E-2</v>
      </c>
      <c r="H44" s="151">
        <f>SUMIFS('الإفاقة القلبية'!$I:$I, 'الإفاقة القلبية'!$O:$O, TEXT(H$4,"mmm-yyyy"))</f>
        <v>0</v>
      </c>
      <c r="I44" s="151">
        <f>SUMIFS('الإفاقة القلبية'!$I:$I, 'الإفاقة القلبية'!$O:$O, TEXT(I$4,"mmm-yyyy"))</f>
        <v>0</v>
      </c>
      <c r="J44" s="151">
        <f>SUMIFS('الإفاقة القلبية'!$I:$I, 'الإفاقة القلبية'!$O:$O, TEXT(J$4,"mmm-yyyy"))</f>
        <v>0</v>
      </c>
      <c r="K44" s="151">
        <f>SUMIFS('الإفاقة القلبية'!$I:$I, 'الإفاقة القلبية'!$O:$O, TEXT(K$4,"mmm-yyyy"))</f>
        <v>0</v>
      </c>
      <c r="L44" s="151">
        <f>SUMIFS('الإفاقة القلبية'!$I:$I, 'الإفاقة القلبية'!$O:$O, TEXT(L$4,"mmm-yyyy"))</f>
        <v>0</v>
      </c>
      <c r="M44" s="151">
        <f>SUMIFS('الإفاقة القلبية'!$I:$I, 'الإفاقة القلبية'!$O:$O, TEXT(M$4,"mmm-yyyy"))</f>
        <v>0</v>
      </c>
    </row>
    <row r="45" spans="1:13" x14ac:dyDescent="0.35">
      <c r="A45" s="9" t="s">
        <v>106</v>
      </c>
      <c r="B45" s="30">
        <f>SUMIFS('الإفاقة القلبية'!$L:$L, 'الإفاقة القلبية'!$O:$O, TEXT(B$4,"mmm-yyyy"))</f>
        <v>0</v>
      </c>
      <c r="C45" s="30">
        <f>SUMIFS('الإفاقة القلبية'!$L:$L, 'الإفاقة القلبية'!$O:$O, TEXT(C$4,"mmm-yyyy"))</f>
        <v>0</v>
      </c>
      <c r="D45" s="30">
        <f>SUMIFS('الإفاقة القلبية'!$L:$L, 'الإفاقة القلبية'!$O:$O, TEXT(D$4,"mmm-yyyy"))</f>
        <v>0</v>
      </c>
      <c r="E45" s="30">
        <f>SUMIFS('الإفاقة القلبية'!$L:$L, 'الإفاقة القلبية'!$O:$O, TEXT(E$4,"mmm-yyyy"))</f>
        <v>0</v>
      </c>
      <c r="F45" s="30">
        <f>SUMIFS('الإفاقة القلبية'!$L:$L, 'الإفاقة القلبية'!$O:$O, TEXT(F$4,"mmm-yyyy"))</f>
        <v>0</v>
      </c>
      <c r="G45" s="30">
        <f>SUMIFS('الإفاقة القلبية'!$L:$L, 'الإفاقة القلبية'!$O:$O, TEXT(G$4,"mmm-yyyy"))</f>
        <v>-0.4069444444444445</v>
      </c>
      <c r="H45" s="30">
        <f>SUMIFS('الإفاقة القلبية'!$L:$L, 'الإفاقة القلبية'!$O:$O, TEXT(H$4,"mmm-yyyy"))</f>
        <v>0</v>
      </c>
      <c r="I45" s="30">
        <f>SUMIFS('الإفاقة القلبية'!$L:$L, 'الإفاقة القلبية'!$O:$O, TEXT(I$4,"mmm-yyyy"))</f>
        <v>0</v>
      </c>
      <c r="J45" s="30">
        <f>SUMIFS('الإفاقة القلبية'!$L:$L, 'الإفاقة القلبية'!$O:$O, TEXT(J$4,"mmm-yyyy"))</f>
        <v>0</v>
      </c>
      <c r="K45" s="30">
        <f>SUMIFS('الإفاقة القلبية'!$L:$L, 'الإفاقة القلبية'!$O:$O, TEXT(K$4,"mmm-yyyy"))</f>
        <v>0</v>
      </c>
      <c r="L45" s="30">
        <f>SUMIFS('الإفاقة القلبية'!$L:$L, 'الإفاقة القلبية'!$O:$O, TEXT(L$4,"mmm-yyyy"))</f>
        <v>0</v>
      </c>
      <c r="M45" s="30">
        <f>SUMIFS('الإفاقة القلبية'!$L:$L, 'الإفاقة القلبية'!$O:$O, TEXT(M$4,"mmm-yyyy"))</f>
        <v>0</v>
      </c>
    </row>
    <row r="46" spans="1:13" s="150" customFormat="1" ht="14.5" customHeight="1" x14ac:dyDescent="0.35">
      <c r="A46" s="148" t="s">
        <v>108</v>
      </c>
      <c r="B46" s="149">
        <f>COUNTIFS('الإفاقة القلبية'!$O:$O, TEXT(B$4,"mmm-yyyy"), 'الإفاقة القلبية'!$N:$N, "نعم")</f>
        <v>0</v>
      </c>
      <c r="C46" s="149">
        <f>COUNTIFS('الإفاقة القلبية'!$O:$O, TEXT(C$4,"mmm-yyyy"), 'الإفاقة القلبية'!$N:$N, "نعم")</f>
        <v>0</v>
      </c>
      <c r="D46" s="149">
        <f>COUNTIFS('الإفاقة القلبية'!$O:$O, TEXT(D$4,"mmm-yyyy"), 'الإفاقة القلبية'!$N:$N, "نعم")</f>
        <v>0</v>
      </c>
      <c r="E46" s="149">
        <f>COUNTIFS('الإفاقة القلبية'!$O:$O, TEXT(E$4,"mmm-yyyy"), 'الإفاقة القلبية'!$N:$N, "نعم")</f>
        <v>0</v>
      </c>
      <c r="F46" s="149">
        <f>COUNTIFS('الإفاقة القلبية'!$O:$O, TEXT(F$4,"mmm-yyyy"), 'الإفاقة القلبية'!$N:$N, "نعم")</f>
        <v>0</v>
      </c>
      <c r="G46" s="149">
        <f>COUNTIFS('الإفاقة القلبية'!$O:$O, TEXT(G$4,"mmm-yyyy"), 'الإفاقة القلبية'!$N:$N, "نعم")</f>
        <v>1</v>
      </c>
      <c r="H46" s="149">
        <f>COUNTIFS('الإفاقة القلبية'!$O:$O, TEXT(H$4,"mmm-yyyy"), 'الإفاقة القلبية'!$N:$N, "نعم")</f>
        <v>0</v>
      </c>
      <c r="I46" s="149">
        <f>COUNTIFS('الإفاقة القلبية'!$O:$O, TEXT(I$4,"mmm-yyyy"), 'الإفاقة القلبية'!$N:$N, "نعم")</f>
        <v>0</v>
      </c>
      <c r="J46" s="149">
        <f>COUNTIFS('الإفاقة القلبية'!$O:$O, TEXT(J$4,"mmm-yyyy"), 'الإفاقة القلبية'!$N:$N, "نعم")</f>
        <v>0</v>
      </c>
      <c r="K46" s="149">
        <f>COUNTIFS('الإفاقة القلبية'!$O:$O, TEXT(K$4,"mmm-yyyy"), 'الإفاقة القلبية'!$N:$N, "نعم")</f>
        <v>0</v>
      </c>
      <c r="L46" s="149">
        <f>COUNTIFS('الإفاقة القلبية'!$O:$O, TEXT(L$4,"mmm-yyyy"), 'الإفاقة القلبية'!$N:$N, "نعم")</f>
        <v>0</v>
      </c>
      <c r="M46" s="149">
        <f>COUNTIFS('الإفاقة القلبية'!$O:$O, TEXT(M$4,"mmm-yyyy"), 'الإفاقة القلبية'!$N:$N, "نعم")</f>
        <v>0</v>
      </c>
    </row>
    <row r="47" spans="1:13" x14ac:dyDescent="0.35">
      <c r="A47" s="9" t="s">
        <v>109</v>
      </c>
      <c r="B47" s="4">
        <f>SUMIFS('الإفاقة القلبية'!$J:$J, 'الإفاقة القلبية'!$O:$O, TEXT(B$4,"mmm-yyyy"))</f>
        <v>0</v>
      </c>
      <c r="C47" s="4">
        <f>SUMIFS('الإفاقة القلبية'!$J:$J, 'الإفاقة القلبية'!$O:$O, TEXT(C$4,"mmm-yyyy"))</f>
        <v>0</v>
      </c>
      <c r="D47" s="4">
        <f>SUMIFS('الإفاقة القلبية'!$J:$J, 'الإفاقة القلبية'!$O:$O, TEXT(D$4,"mmm-yyyy"))</f>
        <v>0</v>
      </c>
      <c r="E47" s="4">
        <f>SUMIFS('الإفاقة القلبية'!$J:$J, 'الإفاقة القلبية'!$O:$O, TEXT(E$4,"mmm-yyyy"))</f>
        <v>0</v>
      </c>
      <c r="F47" s="4">
        <f>SUMIFS('الإفاقة القلبية'!$J:$J, 'الإفاقة القلبية'!$O:$O, TEXT(F$4,"mmm-yyyy"))</f>
        <v>0</v>
      </c>
      <c r="G47" s="4">
        <f>SUMIFS('الإفاقة القلبية'!$J:$J, 'الإفاقة القلبية'!$O:$O, TEXT(G$4,"mmm-yyyy"))</f>
        <v>35</v>
      </c>
      <c r="H47" s="4">
        <f>SUMIFS('الإفاقة القلبية'!$J:$J, 'الإفاقة القلبية'!$O:$O, TEXT(H$4,"mmm-yyyy"))</f>
        <v>0</v>
      </c>
      <c r="I47" s="4">
        <f>SUMIFS('الإفاقة القلبية'!$J:$J, 'الإفاقة القلبية'!$O:$O, TEXT(I$4,"mmm-yyyy"))</f>
        <v>0</v>
      </c>
      <c r="J47" s="4">
        <f>SUMIFS('الإفاقة القلبية'!$J:$J, 'الإفاقة القلبية'!$O:$O, TEXT(J$4,"mmm-yyyy"))</f>
        <v>0</v>
      </c>
      <c r="K47" s="4">
        <f>SUMIFS('الإفاقة القلبية'!$J:$J, 'الإفاقة القلبية'!$O:$O, TEXT(K$4,"mmm-yyyy"))</f>
        <v>0</v>
      </c>
      <c r="L47" s="4">
        <f>SUMIFS('الإفاقة القلبية'!$J:$J, 'الإفاقة القلبية'!$O:$O, TEXT(L$4,"mmm-yyyy"))</f>
        <v>0</v>
      </c>
      <c r="M47" s="4">
        <f>SUMIFS('الإفاقة القلبية'!$J:$J, 'الإفاقة القلبية'!$O:$O, TEXT(M$4,"mmm-yyyy"))</f>
        <v>0</v>
      </c>
    </row>
    <row r="48" spans="1:13" s="138" customFormat="1" x14ac:dyDescent="0.35">
      <c r="A48" s="152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ht="24.75" customHeight="1" x14ac:dyDescent="0.35">
      <c r="A49" s="153" t="s">
        <v>223</v>
      </c>
      <c r="B49" s="153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53"/>
    </row>
    <row r="50" spans="1:13" s="156" customFormat="1" x14ac:dyDescent="0.35">
      <c r="A50" s="154" t="s">
        <v>202</v>
      </c>
      <c r="B50" s="155">
        <f>SUMIFS('الطوارئ والاستقبال'!$H:$H, 'الطوارئ والاستقبال'!$N:$N, TEXT(B$4,"mmm-yyyy"))</f>
        <v>0</v>
      </c>
      <c r="C50" s="155">
        <f>SUMIFS('الطوارئ والاستقبال'!$H:$H, 'الطوارئ والاستقبال'!$N:$N, TEXT(C$4,"mmm-yyyy"))</f>
        <v>0</v>
      </c>
      <c r="D50" s="155">
        <f>SUMIFS('الطوارئ والاستقبال'!$H:$H, 'الطوارئ والاستقبال'!$N:$N, TEXT(D$4,"mmm-yyyy"))</f>
        <v>0</v>
      </c>
      <c r="E50" s="155">
        <f>SUMIFS('الطوارئ والاستقبال'!$H:$H, 'الطوارئ والاستقبال'!$N:$N, TEXT(E$4,"mmm-yyyy"))</f>
        <v>0</v>
      </c>
      <c r="F50" s="155">
        <f>SUMIFS('الطوارئ والاستقبال'!$H:$H, 'الطوارئ والاستقبال'!$N:$N, TEXT(F$4,"mmm-yyyy"))</f>
        <v>0</v>
      </c>
      <c r="G50" s="155">
        <f>SUMIFS('الطوارئ والاستقبال'!$H:$H, 'الطوارئ والاستقبال'!$N:$N, TEXT(G$4,"mmm-yyyy"))</f>
        <v>2.4999999999999911E-2</v>
      </c>
      <c r="H50" s="155">
        <f>SUMIFS('الطوارئ والاستقبال'!$H:$H, 'الطوارئ والاستقبال'!$N:$N, TEXT(H$4,"mmm-yyyy"))</f>
        <v>0</v>
      </c>
      <c r="I50" s="155">
        <f>SUMIFS('الطوارئ والاستقبال'!$H:$H, 'الطوارئ والاستقبال'!$N:$N, TEXT(I$4,"mmm-yyyy"))</f>
        <v>0</v>
      </c>
      <c r="J50" s="155">
        <f>SUMIFS('الطوارئ والاستقبال'!$H:$H, 'الطوارئ والاستقبال'!$N:$N, TEXT(J$4,"mmm-yyyy"))</f>
        <v>0</v>
      </c>
      <c r="K50" s="155">
        <f>SUMIFS('الطوارئ والاستقبال'!$H:$H, 'الطوارئ والاستقبال'!$N:$N, TEXT(K$4,"mmm-yyyy"))</f>
        <v>0</v>
      </c>
      <c r="L50" s="155">
        <f>SUMIFS('الطوارئ والاستقبال'!$H:$H, 'الطوارئ والاستقبال'!$N:$N, TEXT(L$4,"mmm-yyyy"))</f>
        <v>0</v>
      </c>
      <c r="M50" s="155">
        <f>SUMIFS('الطوارئ والاستقبال'!$H:$H, 'الطوارئ والاستقبال'!$N:$N, TEXT(M$4,"mmm-yyyy"))</f>
        <v>0</v>
      </c>
    </row>
    <row r="51" spans="1:13" x14ac:dyDescent="0.35">
      <c r="A51" s="9" t="s">
        <v>203</v>
      </c>
      <c r="B51" s="4">
        <f>COUNTIFS('الطوارئ والاستقبال'!$N:$N, TEXT(B4,"mmm-yyyy"))</f>
        <v>0</v>
      </c>
      <c r="C51" s="4">
        <f>COUNTIFS('الطوارئ والاستقبال'!$N:$N, TEXT(C4,"mmm-yyyy"))</f>
        <v>0</v>
      </c>
      <c r="D51" s="4">
        <f>COUNTIFS('الطوارئ والاستقبال'!$N:$N, TEXT(D4,"mmm-yyyy"))</f>
        <v>0</v>
      </c>
      <c r="E51" s="4">
        <f>COUNTIFS('الطوارئ والاستقبال'!$N:$N, TEXT(E4,"mmm-yyyy"))</f>
        <v>0</v>
      </c>
      <c r="F51" s="4">
        <f>COUNTIFS('الطوارئ والاستقبال'!$N:$N, TEXT(F4,"mmm-yyyy"))</f>
        <v>0</v>
      </c>
      <c r="G51" s="4">
        <f>COUNTIFS('الطوارئ والاستقبال'!$N:$N, TEXT(G4,"mmm-yyyy"))</f>
        <v>3</v>
      </c>
      <c r="H51" s="4">
        <f>COUNTIFS('الطوارئ والاستقبال'!$N:$N, TEXT(H4,"mmm-yyyy"))</f>
        <v>0</v>
      </c>
      <c r="I51" s="4">
        <f>COUNTIFS('الطوارئ والاستقبال'!$N:$N, TEXT(I4,"mmm-yyyy"))</f>
        <v>0</v>
      </c>
      <c r="J51" s="4">
        <f>COUNTIFS('الطوارئ والاستقبال'!$N:$N, TEXT(J4,"mmm-yyyy"))</f>
        <v>0</v>
      </c>
      <c r="K51" s="4">
        <f>COUNTIFS('الطوارئ والاستقبال'!$N:$N, TEXT(K4,"mmm-yyyy"))</f>
        <v>0</v>
      </c>
      <c r="L51" s="4">
        <f>COUNTIFS('الطوارئ والاستقبال'!$N:$N, TEXT(L4,"mmm-yyyy"))</f>
        <v>0</v>
      </c>
      <c r="M51" s="4">
        <f>COUNTIFS('الطوارئ والاستقبال'!$N:$N, TEXT(M4,"mmm-yyyy"))</f>
        <v>0</v>
      </c>
    </row>
    <row r="52" spans="1:13" s="156" customFormat="1" ht="18" customHeight="1" x14ac:dyDescent="0.35">
      <c r="A52" s="154" t="s">
        <v>204</v>
      </c>
      <c r="B52" s="157" t="str">
        <f>IF(OR(ISBLANK('الطوارئ والاستقبال'!K4), 'الطوارئ والاستقبال'!K4=""), "", 'الطوارئ والاستقبال'!K4)</f>
        <v/>
      </c>
      <c r="C52" s="157" t="str">
        <f>IF(OR(ISBLANK('الطوارئ والاستقبال'!K5), 'الطوارئ والاستقبال'!K5=""), "", 'الطوارئ والاستقبال'!K5)</f>
        <v/>
      </c>
      <c r="D52" s="157" t="str">
        <f>IF(OR(ISBLANK('الطوارئ والاستقبال'!K6), 'الطوارئ والاستقبال'!K6=""), "", 'الطوارئ والاستقبال'!K6)</f>
        <v/>
      </c>
      <c r="E52" s="157" t="str">
        <f>IF(OR(ISBLANK('الطوارئ والاستقبال'!K7), 'الطوارئ والاستقبال'!K7=""), "", 'الطوارئ والاستقبال'!K7)</f>
        <v/>
      </c>
      <c r="F52" s="157" t="str">
        <f>IF(OR(ISBLANK('الطوارئ والاستقبال'!K8), 'الطوارئ والاستقبال'!K8=""), "", 'الطوارئ والاستقبال'!K8)</f>
        <v/>
      </c>
      <c r="G52" s="157">
        <f>IF(OR(ISBLANK('الطوارئ والاستقبال'!K9), 'الطوارئ والاستقبال'!K9=""), "", 'الطوارئ والاستقبال'!K9)</f>
        <v>5</v>
      </c>
      <c r="H52" s="157" t="str">
        <f>IF(OR(ISBLANK('الطوارئ والاستقبال'!K10), 'الطوارئ والاستقبال'!K10=""), "", 'الطوارئ والاستقبال'!K10)</f>
        <v/>
      </c>
      <c r="I52" s="157" t="str">
        <f>IF(OR(ISBLANK('الطوارئ والاستقبال'!K11), 'الطوارئ والاستقبال'!K11=""), "", 'الطوارئ والاستقبال'!K11)</f>
        <v/>
      </c>
      <c r="J52" s="157" t="str">
        <f>IF(OR(ISBLANK('الطوارئ والاستقبال'!K12), 'الطوارئ والاستقبال'!K12=""), "", 'الطوارئ والاستقبال'!K12)</f>
        <v/>
      </c>
      <c r="K52" s="157" t="str">
        <f>IF(OR(ISBLANK('الطوارئ والاستقبال'!K13), 'الطوارئ والاستقبال'!K13=""), "", 'الطوارئ والاستقبال'!K13)</f>
        <v/>
      </c>
      <c r="L52" s="157" t="str">
        <f>IF(OR(ISBLANK('الطوارئ والاستقبال'!K14), 'الطوارئ والاستقبال'!K14=""), "", 'الطوارئ والاستقبال'!K14)</f>
        <v/>
      </c>
      <c r="M52" s="157" t="str">
        <f>IF(OR(ISBLANK('الطوارئ والاستقبال'!K15), 'الطوارئ والاستقبال'!K15=""), "", 'الطوارئ والاستقبال'!K15)</f>
        <v/>
      </c>
    </row>
    <row r="53" spans="1:13" x14ac:dyDescent="0.35">
      <c r="A53" s="9" t="s">
        <v>205</v>
      </c>
      <c r="B53" s="45" t="str">
        <f>IF(OR(ISBLANK('الطوارئ والاستقبال'!L4), 'الطوارئ والاستقبال'!L4=""), "", 'الطوارئ والاستقبال'!L4)</f>
        <v/>
      </c>
      <c r="C53" s="45" t="str">
        <f>IF(OR(ISBLANK('الطوارئ والاستقبال'!L5), 'الطوارئ والاستقبال'!L5=""), "", 'الطوارئ والاستقبال'!L5)</f>
        <v/>
      </c>
      <c r="D53" s="45" t="str">
        <f>IF(OR(ISBLANK('الطوارئ والاستقبال'!L6), 'الطوارئ والاستقبال'!L6=""), "", 'الطوارئ والاستقبال'!L6)</f>
        <v/>
      </c>
      <c r="E53" s="45" t="str">
        <f>IF(OR(ISBLANK('الطوارئ والاستقبال'!L7), 'الطوارئ والاستقبال'!L7=""), "", 'الطوارئ والاستقبال'!L7)</f>
        <v/>
      </c>
      <c r="F53" s="45" t="str">
        <f>IF(OR(ISBLANK('الطوارئ والاستقبال'!L8), 'الطوارئ والاستقبال'!L8=""), "", 'الطوارئ والاستقبال'!L8)</f>
        <v/>
      </c>
      <c r="G53" s="45">
        <f>IF(OR(ISBLANK('الطوارئ والاستقبال'!L9), 'الطوارئ والاستقبال'!L9=""), "", 'الطوارئ والاستقبال'!L9)</f>
        <v>200</v>
      </c>
      <c r="H53" s="45" t="str">
        <f>IF(OR(ISBLANK('الطوارئ والاستقبال'!L10), 'الطوارئ والاستقبال'!L10=""), "", 'الطوارئ والاستقبال'!L10)</f>
        <v/>
      </c>
      <c r="I53" s="45" t="str">
        <f>IF(OR(ISBLANK('الطوارئ والاستقبال'!L11), 'الطوارئ والاستقبال'!L11=""), "", 'الطوارئ والاستقبال'!L11)</f>
        <v/>
      </c>
      <c r="J53" s="45" t="str">
        <f>IF(OR(ISBLANK('الطوارئ والاستقبال'!L12), 'الطوارئ والاستقبال'!L12=""), "", 'الطوارئ والاستقبال'!L12)</f>
        <v/>
      </c>
      <c r="K53" s="45" t="str">
        <f>IF(OR(ISBLANK('الطوارئ والاستقبال'!L13), 'الطوارئ والاستقبال'!L13=""), "", 'الطوارئ والاستقبال'!L13)</f>
        <v/>
      </c>
      <c r="L53" s="45" t="str">
        <f>IF(OR(ISBLANK('الطوارئ والاستقبال'!L14), 'الطوارئ والاستقبال'!L14=""), "", 'الطوارئ والاستقبال'!L14)</f>
        <v/>
      </c>
      <c r="M53" s="45" t="str">
        <f>IF(OR(ISBLANK('الطوارئ والاستقبال'!L15), 'الطوارئ والاستقبال'!L15=""), "", 'الطوارئ والاستقبال'!L15)</f>
        <v/>
      </c>
    </row>
    <row r="55" spans="1:13" ht="24.75" customHeight="1" x14ac:dyDescent="0.35">
      <c r="A55" s="206" t="s">
        <v>233</v>
      </c>
      <c r="B55" s="206"/>
      <c r="C55" s="206"/>
      <c r="D55" s="206"/>
      <c r="E55" s="206"/>
      <c r="F55" s="206"/>
      <c r="G55" s="206"/>
      <c r="H55" s="206"/>
      <c r="I55" s="206"/>
      <c r="J55" s="206"/>
      <c r="K55" s="206"/>
      <c r="L55" s="206"/>
      <c r="M55" s="206"/>
    </row>
    <row r="56" spans="1:13" x14ac:dyDescent="0.35">
      <c r="A56" s="35" t="s">
        <v>134</v>
      </c>
      <c r="B56" s="26">
        <f>SUM(B57:B63)</f>
        <v>0</v>
      </c>
      <c r="C56" s="26">
        <f t="shared" ref="C56:M56" si="1">SUM(C57:C63)</f>
        <v>0</v>
      </c>
      <c r="D56" s="26">
        <f t="shared" si="1"/>
        <v>0</v>
      </c>
      <c r="E56" s="26">
        <f t="shared" si="1"/>
        <v>0</v>
      </c>
      <c r="F56" s="26">
        <f t="shared" si="1"/>
        <v>0</v>
      </c>
      <c r="G56" s="26">
        <f t="shared" si="1"/>
        <v>785</v>
      </c>
      <c r="H56" s="26">
        <f t="shared" si="1"/>
        <v>0</v>
      </c>
      <c r="I56" s="26">
        <f t="shared" si="1"/>
        <v>0</v>
      </c>
      <c r="J56" s="26">
        <f t="shared" si="1"/>
        <v>0</v>
      </c>
      <c r="K56" s="26">
        <f t="shared" si="1"/>
        <v>0</v>
      </c>
      <c r="L56" s="26">
        <f t="shared" si="1"/>
        <v>0</v>
      </c>
      <c r="M56" s="26">
        <f t="shared" si="1"/>
        <v>0</v>
      </c>
    </row>
    <row r="57" spans="1:13" x14ac:dyDescent="0.35">
      <c r="A57" s="23" t="s">
        <v>142</v>
      </c>
      <c r="B57" s="23" t="str">
        <f>IF('بيانات المنشأة و تردد العيادات'!C18="", "", 'بيانات المنشأة و تردد العيادات'!C18)</f>
        <v/>
      </c>
      <c r="C57" s="23" t="str">
        <f>IF('بيانات المنشأة و تردد العيادات'!D18="", "", 'بيانات المنشأة و تردد العيادات'!D18)</f>
        <v/>
      </c>
      <c r="D57" s="23" t="str">
        <f>IF('بيانات المنشأة و تردد العيادات'!E18="", "", 'بيانات المنشأة و تردد العيادات'!E18)</f>
        <v/>
      </c>
      <c r="E57" s="23" t="str">
        <f>IF('بيانات المنشأة و تردد العيادات'!F18="", "", 'بيانات المنشأة و تردد العيادات'!F18)</f>
        <v/>
      </c>
      <c r="F57" s="23" t="str">
        <f>IF('بيانات المنشأة و تردد العيادات'!G18="", "", 'بيانات المنشأة و تردد العيادات'!G18)</f>
        <v/>
      </c>
      <c r="G57" s="23">
        <f>IF('بيانات المنشأة و تردد العيادات'!H18="", "", 'بيانات المنشأة و تردد العيادات'!H18)</f>
        <v>230</v>
      </c>
      <c r="H57" s="23" t="str">
        <f>IF('بيانات المنشأة و تردد العيادات'!I18="", "", 'بيانات المنشأة و تردد العيادات'!I18)</f>
        <v/>
      </c>
      <c r="I57" s="23" t="str">
        <f>IF('بيانات المنشأة و تردد العيادات'!J18="", "", 'بيانات المنشأة و تردد العيادات'!J18)</f>
        <v/>
      </c>
      <c r="J57" s="23" t="str">
        <f>IF('بيانات المنشأة و تردد العيادات'!K18="", "", 'بيانات المنشأة و تردد العيادات'!K18)</f>
        <v/>
      </c>
      <c r="K57" s="23" t="str">
        <f>IF('بيانات المنشأة و تردد العيادات'!L18="", "", 'بيانات المنشأة و تردد العيادات'!L18)</f>
        <v/>
      </c>
      <c r="L57" s="23" t="str">
        <f>IF('بيانات المنشأة و تردد العيادات'!M18="", "", 'بيانات المنشأة و تردد العيادات'!M18)</f>
        <v/>
      </c>
      <c r="M57" s="23" t="str">
        <f>IF('بيانات المنشأة و تردد العيادات'!N18="", "", 'بيانات المنشأة و تردد العيادات'!N18)</f>
        <v/>
      </c>
    </row>
    <row r="58" spans="1:13" x14ac:dyDescent="0.35">
      <c r="A58" s="26" t="s">
        <v>143</v>
      </c>
      <c r="B58" s="23" t="str">
        <f>IF('بيانات المنشأة و تردد العيادات'!C19="", "", 'بيانات المنشأة و تردد العيادات'!C19)</f>
        <v/>
      </c>
      <c r="C58" s="23" t="str">
        <f>IF('بيانات المنشأة و تردد العيادات'!D19="", "", 'بيانات المنشأة و تردد العيادات'!D19)</f>
        <v/>
      </c>
      <c r="D58" s="23" t="str">
        <f>IF('بيانات المنشأة و تردد العيادات'!E19="", "", 'بيانات المنشأة و تردد العيادات'!E19)</f>
        <v/>
      </c>
      <c r="E58" s="23" t="str">
        <f>IF('بيانات المنشأة و تردد العيادات'!F19="", "", 'بيانات المنشأة و تردد العيادات'!F19)</f>
        <v/>
      </c>
      <c r="F58" s="23" t="str">
        <f>IF('بيانات المنشأة و تردد العيادات'!G19="", "", 'بيانات المنشأة و تردد العيادات'!G19)</f>
        <v/>
      </c>
      <c r="G58" s="23">
        <f>IF('بيانات المنشأة و تردد العيادات'!H19="", "", 'بيانات المنشأة و تردد العيادات'!H19)</f>
        <v>100</v>
      </c>
      <c r="H58" s="23" t="str">
        <f>IF('بيانات المنشأة و تردد العيادات'!I19="", "", 'بيانات المنشأة و تردد العيادات'!I19)</f>
        <v/>
      </c>
      <c r="I58" s="23" t="str">
        <f>IF('بيانات المنشأة و تردد العيادات'!J19="", "", 'بيانات المنشأة و تردد العيادات'!J19)</f>
        <v/>
      </c>
      <c r="J58" s="23" t="str">
        <f>IF('بيانات المنشأة و تردد العيادات'!K19="", "", 'بيانات المنشأة و تردد العيادات'!K19)</f>
        <v/>
      </c>
      <c r="K58" s="23" t="str">
        <f>IF('بيانات المنشأة و تردد العيادات'!L19="", "", 'بيانات المنشأة و تردد العيادات'!L19)</f>
        <v/>
      </c>
      <c r="L58" s="23" t="str">
        <f>IF('بيانات المنشأة و تردد العيادات'!M19="", "", 'بيانات المنشأة و تردد العيادات'!M19)</f>
        <v/>
      </c>
      <c r="M58" s="23" t="str">
        <f>IF('بيانات المنشأة و تردد العيادات'!N19="", "", 'بيانات المنشأة و تردد العيادات'!N19)</f>
        <v/>
      </c>
    </row>
    <row r="59" spans="1:13" x14ac:dyDescent="0.35">
      <c r="A59" s="23" t="s">
        <v>144</v>
      </c>
      <c r="B59" s="23" t="str">
        <f>IF('بيانات المنشأة و تردد العيادات'!C20="", "", 'بيانات المنشأة و تردد العيادات'!C20)</f>
        <v/>
      </c>
      <c r="C59" s="23" t="str">
        <f>IF('بيانات المنشأة و تردد العيادات'!D20="", "", 'بيانات المنشأة و تردد العيادات'!D20)</f>
        <v/>
      </c>
      <c r="D59" s="23" t="str">
        <f>IF('بيانات المنشأة و تردد العيادات'!E20="", "", 'بيانات المنشأة و تردد العيادات'!E20)</f>
        <v/>
      </c>
      <c r="E59" s="23" t="str">
        <f>IF('بيانات المنشأة و تردد العيادات'!F20="", "", 'بيانات المنشأة و تردد العيادات'!F20)</f>
        <v/>
      </c>
      <c r="F59" s="23" t="str">
        <f>IF('بيانات المنشأة و تردد العيادات'!G20="", "", 'بيانات المنشأة و تردد العيادات'!G20)</f>
        <v/>
      </c>
      <c r="G59" s="23">
        <f>IF('بيانات المنشأة و تردد العيادات'!H20="", "", 'بيانات المنشأة و تردد العيادات'!H20)</f>
        <v>50</v>
      </c>
      <c r="H59" s="23" t="str">
        <f>IF('بيانات المنشأة و تردد العيادات'!I20="", "", 'بيانات المنشأة و تردد العيادات'!I20)</f>
        <v/>
      </c>
      <c r="I59" s="23" t="str">
        <f>IF('بيانات المنشأة و تردد العيادات'!J20="", "", 'بيانات المنشأة و تردد العيادات'!J20)</f>
        <v/>
      </c>
      <c r="J59" s="23" t="str">
        <f>IF('بيانات المنشأة و تردد العيادات'!K20="", "", 'بيانات المنشأة و تردد العيادات'!K20)</f>
        <v/>
      </c>
      <c r="K59" s="23" t="str">
        <f>IF('بيانات المنشأة و تردد العيادات'!L20="", "", 'بيانات المنشأة و تردد العيادات'!L20)</f>
        <v/>
      </c>
      <c r="L59" s="23" t="str">
        <f>IF('بيانات المنشأة و تردد العيادات'!M20="", "", 'بيانات المنشأة و تردد العيادات'!M20)</f>
        <v/>
      </c>
      <c r="M59" s="23" t="str">
        <f>IF('بيانات المنشأة و تردد العيادات'!N20="", "", 'بيانات المنشأة و تردد العيادات'!N20)</f>
        <v/>
      </c>
    </row>
    <row r="60" spans="1:13" x14ac:dyDescent="0.35">
      <c r="A60" s="26" t="s">
        <v>145</v>
      </c>
      <c r="B60" s="23" t="str">
        <f>IF('بيانات المنشأة و تردد العيادات'!C21="", "", 'بيانات المنشأة و تردد العيادات'!C21)</f>
        <v/>
      </c>
      <c r="C60" s="23" t="str">
        <f>IF('بيانات المنشأة و تردد العيادات'!D21="", "", 'بيانات المنشأة و تردد العيادات'!D21)</f>
        <v/>
      </c>
      <c r="D60" s="23" t="str">
        <f>IF('بيانات المنشأة و تردد العيادات'!E21="", "", 'بيانات المنشأة و تردد العيادات'!E21)</f>
        <v/>
      </c>
      <c r="E60" s="23" t="str">
        <f>IF('بيانات المنشأة و تردد العيادات'!F21="", "", 'بيانات المنشأة و تردد العيادات'!F21)</f>
        <v/>
      </c>
      <c r="F60" s="23" t="str">
        <f>IF('بيانات المنشأة و تردد العيادات'!G21="", "", 'بيانات المنشأة و تردد العيادات'!G21)</f>
        <v/>
      </c>
      <c r="G60" s="23">
        <f>IF('بيانات المنشأة و تردد العيادات'!H21="", "", 'بيانات المنشأة و تردد العيادات'!H21)</f>
        <v>86</v>
      </c>
      <c r="H60" s="23" t="str">
        <f>IF('بيانات المنشأة و تردد العيادات'!I21="", "", 'بيانات المنشأة و تردد العيادات'!I21)</f>
        <v/>
      </c>
      <c r="I60" s="23" t="str">
        <f>IF('بيانات المنشأة و تردد العيادات'!J21="", "", 'بيانات المنشأة و تردد العيادات'!J21)</f>
        <v/>
      </c>
      <c r="J60" s="23" t="str">
        <f>IF('بيانات المنشأة و تردد العيادات'!K21="", "", 'بيانات المنشأة و تردد العيادات'!K21)</f>
        <v/>
      </c>
      <c r="K60" s="23" t="str">
        <f>IF('بيانات المنشأة و تردد العيادات'!L21="", "", 'بيانات المنشأة و تردد العيادات'!L21)</f>
        <v/>
      </c>
      <c r="L60" s="23" t="str">
        <f>IF('بيانات المنشأة و تردد العيادات'!M21="", "", 'بيانات المنشأة و تردد العيادات'!M21)</f>
        <v/>
      </c>
      <c r="M60" s="23" t="str">
        <f>IF('بيانات المنشأة و تردد العيادات'!N21="", "", 'بيانات المنشأة و تردد العيادات'!N21)</f>
        <v/>
      </c>
    </row>
    <row r="61" spans="1:13" x14ac:dyDescent="0.35">
      <c r="A61" s="23" t="s">
        <v>146</v>
      </c>
      <c r="B61" s="23" t="str">
        <f>IF('بيانات المنشأة و تردد العيادات'!C22="", "", 'بيانات المنشأة و تردد العيادات'!C22)</f>
        <v>NA</v>
      </c>
      <c r="C61" s="23" t="str">
        <f>IF('بيانات المنشأة و تردد العيادات'!D22="", "", 'بيانات المنشأة و تردد العيادات'!D22)</f>
        <v/>
      </c>
      <c r="D61" s="23" t="str">
        <f>IF('بيانات المنشأة و تردد العيادات'!E22="", "", 'بيانات المنشأة و تردد العيادات'!E22)</f>
        <v/>
      </c>
      <c r="E61" s="23" t="str">
        <f>IF('بيانات المنشأة و تردد العيادات'!F22="", "", 'بيانات المنشأة و تردد العيادات'!F22)</f>
        <v/>
      </c>
      <c r="F61" s="23" t="str">
        <f>IF('بيانات المنشأة و تردد العيادات'!G22="", "", 'بيانات المنشأة و تردد العيادات'!G22)</f>
        <v/>
      </c>
      <c r="G61" s="23" t="str">
        <f>IF('بيانات المنشأة و تردد العيادات'!H22="", "", 'بيانات المنشأة و تردد العيادات'!H22)</f>
        <v>na</v>
      </c>
      <c r="H61" s="23" t="str">
        <f>IF('بيانات المنشأة و تردد العيادات'!I22="", "", 'بيانات المنشأة و تردد العيادات'!I22)</f>
        <v/>
      </c>
      <c r="I61" s="23" t="str">
        <f>IF('بيانات المنشأة و تردد العيادات'!J22="", "", 'بيانات المنشأة و تردد العيادات'!J22)</f>
        <v/>
      </c>
      <c r="J61" s="23" t="str">
        <f>IF('بيانات المنشأة و تردد العيادات'!K22="", "", 'بيانات المنشأة و تردد العيادات'!K22)</f>
        <v/>
      </c>
      <c r="K61" s="23" t="str">
        <f>IF('بيانات المنشأة و تردد العيادات'!L22="", "", 'بيانات المنشأة و تردد العيادات'!L22)</f>
        <v/>
      </c>
      <c r="L61" s="23" t="str">
        <f>IF('بيانات المنشأة و تردد العيادات'!M22="", "", 'بيانات المنشأة و تردد العيادات'!M22)</f>
        <v/>
      </c>
      <c r="M61" s="23" t="str">
        <f>IF('بيانات المنشأة و تردد العيادات'!N22="", "", 'بيانات المنشأة و تردد العيادات'!N22)</f>
        <v/>
      </c>
    </row>
    <row r="62" spans="1:13" x14ac:dyDescent="0.35">
      <c r="A62" s="26" t="s">
        <v>147</v>
      </c>
      <c r="B62" s="23" t="str">
        <f>IF('بيانات المنشأة و تردد العيادات'!C23="", "", 'بيانات المنشأة و تردد العيادات'!C23)</f>
        <v/>
      </c>
      <c r="C62" s="23" t="str">
        <f>IF('بيانات المنشأة و تردد العيادات'!D23="", "", 'بيانات المنشأة و تردد العيادات'!D23)</f>
        <v/>
      </c>
      <c r="D62" s="23" t="str">
        <f>IF('بيانات المنشأة و تردد العيادات'!E23="", "", 'بيانات المنشأة و تردد العيادات'!E23)</f>
        <v/>
      </c>
      <c r="E62" s="23" t="str">
        <f>IF('بيانات المنشأة و تردد العيادات'!F23="", "", 'بيانات المنشأة و تردد العيادات'!F23)</f>
        <v/>
      </c>
      <c r="F62" s="23" t="str">
        <f>IF('بيانات المنشأة و تردد العيادات'!G23="", "", 'بيانات المنشأة و تردد العيادات'!G23)</f>
        <v/>
      </c>
      <c r="G62" s="23">
        <f>IF('بيانات المنشأة و تردد العيادات'!H23="", "", 'بيانات المنشأة و تردد العيادات'!H23)</f>
        <v>69</v>
      </c>
      <c r="H62" s="23" t="str">
        <f>IF('بيانات المنشأة و تردد العيادات'!I23="", "", 'بيانات المنشأة و تردد العيادات'!I23)</f>
        <v/>
      </c>
      <c r="I62" s="23" t="str">
        <f>IF('بيانات المنشأة و تردد العيادات'!J23="", "", 'بيانات المنشأة و تردد العيادات'!J23)</f>
        <v/>
      </c>
      <c r="J62" s="23" t="str">
        <f>IF('بيانات المنشأة و تردد العيادات'!K23="", "", 'بيانات المنشأة و تردد العيادات'!K23)</f>
        <v/>
      </c>
      <c r="K62" s="23" t="str">
        <f>IF('بيانات المنشأة و تردد العيادات'!L23="", "", 'بيانات المنشأة و تردد العيادات'!L23)</f>
        <v/>
      </c>
      <c r="L62" s="23" t="str">
        <f>IF('بيانات المنشأة و تردد العيادات'!M23="", "", 'بيانات المنشأة و تردد العيادات'!M23)</f>
        <v/>
      </c>
      <c r="M62" s="23" t="str">
        <f>IF('بيانات المنشأة و تردد العيادات'!N23="", "", 'بيانات المنشأة و تردد العيادات'!N23)</f>
        <v/>
      </c>
    </row>
    <row r="63" spans="1:13" x14ac:dyDescent="0.35">
      <c r="A63" s="23" t="s">
        <v>149</v>
      </c>
      <c r="B63" s="23" t="str">
        <f>IF('بيانات المنشأة و تردد العيادات'!C24="", "", 'بيانات المنشأة و تردد العيادات'!C24)</f>
        <v/>
      </c>
      <c r="C63" s="23" t="str">
        <f>IF('بيانات المنشأة و تردد العيادات'!D24="", "", 'بيانات المنشأة و تردد العيادات'!D24)</f>
        <v/>
      </c>
      <c r="D63" s="23" t="str">
        <f>IF('بيانات المنشأة و تردد العيادات'!E24="", "", 'بيانات المنشأة و تردد العيادات'!E24)</f>
        <v/>
      </c>
      <c r="E63" s="23" t="str">
        <f>IF('بيانات المنشأة و تردد العيادات'!F24="", "", 'بيانات المنشأة و تردد العيادات'!F24)</f>
        <v/>
      </c>
      <c r="F63" s="23" t="str">
        <f>IF('بيانات المنشأة و تردد العيادات'!G24="", "", 'بيانات المنشأة و تردد العيادات'!G24)</f>
        <v/>
      </c>
      <c r="G63" s="23">
        <f>IF('بيانات المنشأة و تردد العيادات'!H24="", "", 'بيانات المنشأة و تردد العيادات'!H24)</f>
        <v>250</v>
      </c>
      <c r="H63" s="23" t="str">
        <f>IF('بيانات المنشأة و تردد العيادات'!I24="", "", 'بيانات المنشأة و تردد العيادات'!I24)</f>
        <v/>
      </c>
      <c r="I63" s="23" t="str">
        <f>IF('بيانات المنشأة و تردد العيادات'!J24="", "", 'بيانات المنشأة و تردد العيادات'!J24)</f>
        <v/>
      </c>
      <c r="J63" s="23" t="str">
        <f>IF('بيانات المنشأة و تردد العيادات'!K24="", "", 'بيانات المنشأة و تردد العيادات'!K24)</f>
        <v/>
      </c>
      <c r="K63" s="23" t="str">
        <f>IF('بيانات المنشأة و تردد العيادات'!L24="", "", 'بيانات المنشأة و تردد العيادات'!L24)</f>
        <v/>
      </c>
      <c r="L63" s="23" t="str">
        <f>IF('بيانات المنشأة و تردد العيادات'!M24="", "", 'بيانات المنشأة و تردد العيادات'!M24)</f>
        <v/>
      </c>
      <c r="M63" s="23" t="str">
        <f>IF('بيانات المنشأة و تردد العيادات'!N24="", "", 'بيانات المنشأة و تردد العيادات'!N24)</f>
        <v/>
      </c>
    </row>
    <row r="64" spans="1:13" x14ac:dyDescent="0.35">
      <c r="A64" s="165"/>
      <c r="B64" s="165"/>
      <c r="C64" s="165"/>
      <c r="D64" s="165"/>
      <c r="E64" s="165"/>
      <c r="F64" s="165"/>
      <c r="G64" s="165"/>
      <c r="H64" s="165"/>
      <c r="I64" s="165"/>
      <c r="J64" s="165"/>
      <c r="K64" s="165"/>
      <c r="L64" s="165"/>
      <c r="M64" s="166"/>
    </row>
  </sheetData>
  <sheetProtection algorithmName="SHA-512" hashValue="vmYQKZ7kxx1AGo7gnx9caxnPzwCJHAnO3d6B8S9JHKRJVmJEHemLYpQYZyUHhmHEjThwPKWhyWLGU5FGoWjAkw==" saltValue="0iL2V8Td9qmk2YQ/2hh3Tw==" spinCount="100000" sheet="1" objects="1" scenarios="1"/>
  <mergeCells count="2">
    <mergeCell ref="A1:M1"/>
    <mergeCell ref="A55:M55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rightToLeft="1" topLeftCell="C1" workbookViewId="0">
      <pane ySplit="3" topLeftCell="A4" activePane="bottomLeft" state="frozen"/>
      <selection activeCell="C1" sqref="C1"/>
      <selection pane="bottomLeft" activeCell="P2" sqref="P1:P1048576"/>
    </sheetView>
  </sheetViews>
  <sheetFormatPr defaultRowHeight="14.5" x14ac:dyDescent="0.35"/>
  <cols>
    <col min="1" max="1" width="3.08984375" customWidth="1"/>
    <col min="2" max="2" width="10.7265625" customWidth="1"/>
    <col min="3" max="3" width="51.26953125" customWidth="1"/>
    <col min="6" max="6" width="8.90625" customWidth="1"/>
    <col min="8" max="8" width="9.08984375" customWidth="1"/>
  </cols>
  <sheetData>
    <row r="1" spans="1:15" ht="34.5" customHeight="1" thickBot="1" x14ac:dyDescent="0.4">
      <c r="A1" s="191" t="s">
        <v>224</v>
      </c>
      <c r="B1" s="191"/>
      <c r="C1" s="191"/>
      <c r="D1" s="191"/>
      <c r="E1" s="191"/>
      <c r="F1" s="191"/>
      <c r="G1" s="191"/>
      <c r="H1" s="191"/>
      <c r="I1" s="191"/>
      <c r="J1" s="191"/>
      <c r="K1" s="191"/>
      <c r="L1" s="191"/>
      <c r="M1" s="191"/>
      <c r="N1" s="191"/>
      <c r="O1" s="191"/>
    </row>
    <row r="2" spans="1:15" s="138" customFormat="1" ht="15.5" customHeight="1" x14ac:dyDescent="0.35">
      <c r="A2" s="137"/>
      <c r="B2" s="137"/>
      <c r="C2" s="137"/>
      <c r="D2" s="137"/>
      <c r="E2" s="137"/>
      <c r="F2" s="137"/>
      <c r="G2" s="137"/>
      <c r="H2" s="137"/>
      <c r="I2" s="137"/>
      <c r="J2" s="137"/>
      <c r="K2" s="137"/>
      <c r="L2" s="137"/>
      <c r="M2" s="137"/>
      <c r="N2" s="137"/>
      <c r="O2" s="137"/>
    </row>
    <row r="3" spans="1:15" ht="21.5" customHeight="1" x14ac:dyDescent="0.35">
      <c r="A3" s="31" t="s">
        <v>0</v>
      </c>
      <c r="B3" s="32" t="s">
        <v>111</v>
      </c>
      <c r="C3" s="32" t="s">
        <v>112</v>
      </c>
      <c r="D3" s="33" t="s">
        <v>39</v>
      </c>
      <c r="E3" s="33" t="s">
        <v>40</v>
      </c>
      <c r="F3" s="33" t="s">
        <v>41</v>
      </c>
      <c r="G3" s="33" t="s">
        <v>42</v>
      </c>
      <c r="H3" s="33" t="s">
        <v>43</v>
      </c>
      <c r="I3" s="33" t="s">
        <v>44</v>
      </c>
      <c r="J3" s="33" t="s">
        <v>45</v>
      </c>
      <c r="K3" s="33" t="s">
        <v>46</v>
      </c>
      <c r="L3" s="33" t="s">
        <v>47</v>
      </c>
      <c r="M3" s="33" t="s">
        <v>48</v>
      </c>
      <c r="N3" s="33" t="s">
        <v>49</v>
      </c>
      <c r="O3" s="34" t="s">
        <v>50</v>
      </c>
    </row>
    <row r="4" spans="1:15" ht="24.75" customHeight="1" x14ac:dyDescent="0.35">
      <c r="A4" s="206" t="s">
        <v>188</v>
      </c>
      <c r="B4" s="206"/>
      <c r="C4" s="206"/>
      <c r="D4" s="206"/>
      <c r="E4" s="206"/>
      <c r="F4" s="206"/>
      <c r="G4" s="206"/>
      <c r="H4" s="206"/>
      <c r="I4" s="206"/>
      <c r="J4" s="206"/>
      <c r="K4" s="206"/>
      <c r="L4" s="206"/>
      <c r="M4" s="206"/>
      <c r="N4" s="206"/>
      <c r="O4" s="206"/>
    </row>
    <row r="5" spans="1:15" x14ac:dyDescent="0.35">
      <c r="A5" s="25">
        <v>1</v>
      </c>
      <c r="B5" s="158" t="s">
        <v>135</v>
      </c>
      <c r="C5" s="35" t="s">
        <v>134</v>
      </c>
      <c r="D5" s="26">
        <f>SUM(D6:D12)</f>
        <v>0</v>
      </c>
      <c r="E5" s="26">
        <f t="shared" ref="E5:O5" si="0">SUM(E6:E12)</f>
        <v>0</v>
      </c>
      <c r="F5" s="26">
        <f t="shared" si="0"/>
        <v>0</v>
      </c>
      <c r="G5" s="26">
        <f t="shared" si="0"/>
        <v>0</v>
      </c>
      <c r="H5" s="26">
        <f t="shared" si="0"/>
        <v>0</v>
      </c>
      <c r="I5" s="26">
        <f t="shared" si="0"/>
        <v>785</v>
      </c>
      <c r="J5" s="26">
        <f t="shared" si="0"/>
        <v>0</v>
      </c>
      <c r="K5" s="26">
        <f t="shared" si="0"/>
        <v>0</v>
      </c>
      <c r="L5" s="26">
        <f t="shared" si="0"/>
        <v>0</v>
      </c>
      <c r="M5" s="26">
        <f t="shared" si="0"/>
        <v>0</v>
      </c>
      <c r="N5" s="26">
        <f t="shared" si="0"/>
        <v>0</v>
      </c>
      <c r="O5" s="26">
        <f t="shared" si="0"/>
        <v>0</v>
      </c>
    </row>
    <row r="6" spans="1:15" x14ac:dyDescent="0.35">
      <c r="A6" s="28">
        <v>2</v>
      </c>
      <c r="B6" s="159" t="s">
        <v>136</v>
      </c>
      <c r="C6" s="23" t="s">
        <v>142</v>
      </c>
      <c r="D6" s="23" t="str">
        <f>IF('بيانات المنشأة و تردد العيادات'!C18="", "", 'بيانات المنشأة و تردد العيادات'!C18)</f>
        <v/>
      </c>
      <c r="E6" s="23" t="str">
        <f>IF('بيانات المنشأة و تردد العيادات'!D18="", "", 'بيانات المنشأة و تردد العيادات'!D18)</f>
        <v/>
      </c>
      <c r="F6" s="23" t="str">
        <f>IF('بيانات المنشأة و تردد العيادات'!E18="", "", 'بيانات المنشأة و تردد العيادات'!E18)</f>
        <v/>
      </c>
      <c r="G6" s="23" t="str">
        <f>IF('بيانات المنشأة و تردد العيادات'!F18="", "", 'بيانات المنشأة و تردد العيادات'!F18)</f>
        <v/>
      </c>
      <c r="H6" s="23" t="str">
        <f>IF('بيانات المنشأة و تردد العيادات'!G18="", "", 'بيانات المنشأة و تردد العيادات'!G18)</f>
        <v/>
      </c>
      <c r="I6" s="23">
        <f>IF('بيانات المنشأة و تردد العيادات'!H18="", "", 'بيانات المنشأة و تردد العيادات'!H18)</f>
        <v>230</v>
      </c>
      <c r="J6" s="23" t="str">
        <f>IF('بيانات المنشأة و تردد العيادات'!I18="", "", 'بيانات المنشأة و تردد العيادات'!I18)</f>
        <v/>
      </c>
      <c r="K6" s="23" t="str">
        <f>IF('بيانات المنشأة و تردد العيادات'!J18="", "", 'بيانات المنشأة و تردد العيادات'!J18)</f>
        <v/>
      </c>
      <c r="L6" s="23" t="str">
        <f>IF('بيانات المنشأة و تردد العيادات'!K18="", "", 'بيانات المنشأة و تردد العيادات'!K18)</f>
        <v/>
      </c>
      <c r="M6" s="23" t="str">
        <f>IF('بيانات المنشأة و تردد العيادات'!L18="", "", 'بيانات المنشأة و تردد العيادات'!L18)</f>
        <v/>
      </c>
      <c r="N6" s="23" t="str">
        <f>IF('بيانات المنشأة و تردد العيادات'!M18="", "", 'بيانات المنشأة و تردد العيادات'!M18)</f>
        <v/>
      </c>
      <c r="O6" s="24" t="str">
        <f>IF('بيانات المنشأة و تردد العيادات'!N18="", "", 'بيانات المنشأة و تردد العيادات'!N18)</f>
        <v/>
      </c>
    </row>
    <row r="7" spans="1:15" x14ac:dyDescent="0.35">
      <c r="A7" s="25">
        <v>3</v>
      </c>
      <c r="B7" s="158" t="s">
        <v>137</v>
      </c>
      <c r="C7" s="26" t="s">
        <v>143</v>
      </c>
      <c r="D7" s="26" t="str">
        <f>IF('بيانات المنشأة و تردد العيادات'!C19="", "", 'بيانات المنشأة و تردد العيادات'!C19)</f>
        <v/>
      </c>
      <c r="E7" s="26" t="str">
        <f>IF('بيانات المنشأة و تردد العيادات'!D19="", "", 'بيانات المنشأة و تردد العيادات'!D19)</f>
        <v/>
      </c>
      <c r="F7" s="26" t="str">
        <f>IF('بيانات المنشأة و تردد العيادات'!E19="", "", 'بيانات المنشأة و تردد العيادات'!E19)</f>
        <v/>
      </c>
      <c r="G7" s="26" t="str">
        <f>IF('بيانات المنشأة و تردد العيادات'!F19="", "", 'بيانات المنشأة و تردد العيادات'!F19)</f>
        <v/>
      </c>
      <c r="H7" s="26" t="str">
        <f>IF('بيانات المنشأة و تردد العيادات'!G19="", "", 'بيانات المنشأة و تردد العيادات'!G19)</f>
        <v/>
      </c>
      <c r="I7" s="26">
        <f>IF('بيانات المنشأة و تردد العيادات'!H19="", "", 'بيانات المنشأة و تردد العيادات'!H19)</f>
        <v>100</v>
      </c>
      <c r="J7" s="26" t="str">
        <f>IF('بيانات المنشأة و تردد العيادات'!I19="", "", 'بيانات المنشأة و تردد العيادات'!I19)</f>
        <v/>
      </c>
      <c r="K7" s="26" t="str">
        <f>IF('بيانات المنشأة و تردد العيادات'!J19="", "", 'بيانات المنشأة و تردد العيادات'!J19)</f>
        <v/>
      </c>
      <c r="L7" s="26" t="str">
        <f>IF('بيانات المنشأة و تردد العيادات'!K19="", "", 'بيانات المنشأة و تردد العيادات'!K19)</f>
        <v/>
      </c>
      <c r="M7" s="26" t="str">
        <f>IF('بيانات المنشأة و تردد العيادات'!L19="", "", 'بيانات المنشأة و تردد العيادات'!L19)</f>
        <v/>
      </c>
      <c r="N7" s="26" t="str">
        <f>IF('بيانات المنشأة و تردد العيادات'!M19="", "", 'بيانات المنشأة و تردد العيادات'!M19)</f>
        <v/>
      </c>
      <c r="O7" s="27" t="str">
        <f>IF('بيانات المنشأة و تردد العيادات'!N19="", "", 'بيانات المنشأة و تردد العيادات'!N19)</f>
        <v/>
      </c>
    </row>
    <row r="8" spans="1:15" x14ac:dyDescent="0.35">
      <c r="A8" s="28">
        <v>4</v>
      </c>
      <c r="B8" s="159" t="s">
        <v>138</v>
      </c>
      <c r="C8" s="23" t="s">
        <v>144</v>
      </c>
      <c r="D8" s="23" t="str">
        <f>IF('بيانات المنشأة و تردد العيادات'!C20="", "", 'بيانات المنشأة و تردد العيادات'!C20)</f>
        <v/>
      </c>
      <c r="E8" s="23" t="str">
        <f>IF('بيانات المنشأة و تردد العيادات'!D20="", "", 'بيانات المنشأة و تردد العيادات'!D20)</f>
        <v/>
      </c>
      <c r="F8" s="23" t="str">
        <f>IF('بيانات المنشأة و تردد العيادات'!E20="", "", 'بيانات المنشأة و تردد العيادات'!E20)</f>
        <v/>
      </c>
      <c r="G8" s="23" t="str">
        <f>IF('بيانات المنشأة و تردد العيادات'!F20="", "", 'بيانات المنشأة و تردد العيادات'!F20)</f>
        <v/>
      </c>
      <c r="H8" s="23" t="str">
        <f>IF('بيانات المنشأة و تردد العيادات'!G20="", "", 'بيانات المنشأة و تردد العيادات'!G20)</f>
        <v/>
      </c>
      <c r="I8" s="23">
        <f>IF('بيانات المنشأة و تردد العيادات'!H20="", "", 'بيانات المنشأة و تردد العيادات'!H20)</f>
        <v>50</v>
      </c>
      <c r="J8" s="23" t="str">
        <f>IF('بيانات المنشأة و تردد العيادات'!I20="", "", 'بيانات المنشأة و تردد العيادات'!I20)</f>
        <v/>
      </c>
      <c r="K8" s="23" t="str">
        <f>IF('بيانات المنشأة و تردد العيادات'!J20="", "", 'بيانات المنشأة و تردد العيادات'!J20)</f>
        <v/>
      </c>
      <c r="L8" s="23" t="str">
        <f>IF('بيانات المنشأة و تردد العيادات'!K20="", "", 'بيانات المنشأة و تردد العيادات'!K20)</f>
        <v/>
      </c>
      <c r="M8" s="23" t="str">
        <f>IF('بيانات المنشأة و تردد العيادات'!L20="", "", 'بيانات المنشأة و تردد العيادات'!L20)</f>
        <v/>
      </c>
      <c r="N8" s="23" t="str">
        <f>IF('بيانات المنشأة و تردد العيادات'!M20="", "", 'بيانات المنشأة و تردد العيادات'!M20)</f>
        <v/>
      </c>
      <c r="O8" s="24" t="str">
        <f>IF('بيانات المنشأة و تردد العيادات'!N20="", "", 'بيانات المنشأة و تردد العيادات'!N20)</f>
        <v/>
      </c>
    </row>
    <row r="9" spans="1:15" x14ac:dyDescent="0.35">
      <c r="A9" s="25">
        <v>5</v>
      </c>
      <c r="B9" s="158" t="s">
        <v>139</v>
      </c>
      <c r="C9" s="26" t="s">
        <v>145</v>
      </c>
      <c r="D9" s="26" t="str">
        <f>IF('بيانات المنشأة و تردد العيادات'!C21="", "", 'بيانات المنشأة و تردد العيادات'!C21)</f>
        <v/>
      </c>
      <c r="E9" s="26" t="str">
        <f>IF('بيانات المنشأة و تردد العيادات'!D21="", "", 'بيانات المنشأة و تردد العيادات'!D21)</f>
        <v/>
      </c>
      <c r="F9" s="26" t="str">
        <f>IF('بيانات المنشأة و تردد العيادات'!E21="", "", 'بيانات المنشأة و تردد العيادات'!E21)</f>
        <v/>
      </c>
      <c r="G9" s="26" t="str">
        <f>IF('بيانات المنشأة و تردد العيادات'!F21="", "", 'بيانات المنشأة و تردد العيادات'!F21)</f>
        <v/>
      </c>
      <c r="H9" s="26" t="str">
        <f>IF('بيانات المنشأة و تردد العيادات'!G21="", "", 'بيانات المنشأة و تردد العيادات'!G21)</f>
        <v/>
      </c>
      <c r="I9" s="26">
        <f>IF('بيانات المنشأة و تردد العيادات'!H21="", "", 'بيانات المنشأة و تردد العيادات'!H21)</f>
        <v>86</v>
      </c>
      <c r="J9" s="26" t="str">
        <f>IF('بيانات المنشأة و تردد العيادات'!I21="", "", 'بيانات المنشأة و تردد العيادات'!I21)</f>
        <v/>
      </c>
      <c r="K9" s="26" t="str">
        <f>IF('بيانات المنشأة و تردد العيادات'!J21="", "", 'بيانات المنشأة و تردد العيادات'!J21)</f>
        <v/>
      </c>
      <c r="L9" s="26" t="str">
        <f>IF('بيانات المنشأة و تردد العيادات'!K21="", "", 'بيانات المنشأة و تردد العيادات'!K21)</f>
        <v/>
      </c>
      <c r="M9" s="26" t="str">
        <f>IF('بيانات المنشأة و تردد العيادات'!L21="", "", 'بيانات المنشأة و تردد العيادات'!L21)</f>
        <v/>
      </c>
      <c r="N9" s="26" t="str">
        <f>IF('بيانات المنشأة و تردد العيادات'!M21="", "", 'بيانات المنشأة و تردد العيادات'!M21)</f>
        <v/>
      </c>
      <c r="O9" s="27" t="str">
        <f>IF('بيانات المنشأة و تردد العيادات'!N21="", "", 'بيانات المنشأة و تردد العيادات'!N21)</f>
        <v/>
      </c>
    </row>
    <row r="10" spans="1:15" x14ac:dyDescent="0.35">
      <c r="A10" s="28">
        <v>6</v>
      </c>
      <c r="B10" s="159" t="s">
        <v>140</v>
      </c>
      <c r="C10" s="23" t="s">
        <v>146</v>
      </c>
      <c r="D10" s="23" t="str">
        <f>IF('بيانات المنشأة و تردد العيادات'!C22="", "", 'بيانات المنشأة و تردد العيادات'!C22)</f>
        <v>NA</v>
      </c>
      <c r="E10" s="23" t="str">
        <f>IF('بيانات المنشأة و تردد العيادات'!D22="", "", 'بيانات المنشأة و تردد العيادات'!D22)</f>
        <v/>
      </c>
      <c r="F10" s="23" t="str">
        <f>IF('بيانات المنشأة و تردد العيادات'!E22="", "", 'بيانات المنشأة و تردد العيادات'!E22)</f>
        <v/>
      </c>
      <c r="G10" s="23" t="str">
        <f>IF('بيانات المنشأة و تردد العيادات'!F22="", "", 'بيانات المنشأة و تردد العيادات'!F22)</f>
        <v/>
      </c>
      <c r="H10" s="23" t="str">
        <f>IF('بيانات المنشأة و تردد العيادات'!G22="", "", 'بيانات المنشأة و تردد العيادات'!G22)</f>
        <v/>
      </c>
      <c r="I10" s="23" t="str">
        <f>IF('بيانات المنشأة و تردد العيادات'!H22="", "", 'بيانات المنشأة و تردد العيادات'!H22)</f>
        <v>na</v>
      </c>
      <c r="J10" s="23" t="str">
        <f>IF('بيانات المنشأة و تردد العيادات'!I22="", "", 'بيانات المنشأة و تردد العيادات'!I22)</f>
        <v/>
      </c>
      <c r="K10" s="23" t="str">
        <f>IF('بيانات المنشأة و تردد العيادات'!J22="", "", 'بيانات المنشأة و تردد العيادات'!J22)</f>
        <v/>
      </c>
      <c r="L10" s="23" t="str">
        <f>IF('بيانات المنشأة و تردد العيادات'!K22="", "", 'بيانات المنشأة و تردد العيادات'!K22)</f>
        <v/>
      </c>
      <c r="M10" s="23" t="str">
        <f>IF('بيانات المنشأة و تردد العيادات'!L22="", "", 'بيانات المنشأة و تردد العيادات'!L22)</f>
        <v/>
      </c>
      <c r="N10" s="23" t="str">
        <f>IF('بيانات المنشأة و تردد العيادات'!M22="", "", 'بيانات المنشأة و تردد العيادات'!M22)</f>
        <v/>
      </c>
      <c r="O10" s="24" t="str">
        <f>IF('بيانات المنشأة و تردد العيادات'!N22="", "", 'بيانات المنشأة و تردد العيادات'!N22)</f>
        <v/>
      </c>
    </row>
    <row r="11" spans="1:15" x14ac:dyDescent="0.35">
      <c r="A11" s="25">
        <v>7</v>
      </c>
      <c r="B11" s="158" t="s">
        <v>141</v>
      </c>
      <c r="C11" s="26" t="s">
        <v>147</v>
      </c>
      <c r="D11" s="26" t="str">
        <f>IF('بيانات المنشأة و تردد العيادات'!C23="", "", 'بيانات المنشأة و تردد العيادات'!C23)</f>
        <v/>
      </c>
      <c r="E11" s="26" t="str">
        <f>IF('بيانات المنشأة و تردد العيادات'!D23="", "", 'بيانات المنشأة و تردد العيادات'!D23)</f>
        <v/>
      </c>
      <c r="F11" s="26" t="str">
        <f>IF('بيانات المنشأة و تردد العيادات'!E23="", "", 'بيانات المنشأة و تردد العيادات'!E23)</f>
        <v/>
      </c>
      <c r="G11" s="26" t="str">
        <f>IF('بيانات المنشأة و تردد العيادات'!F23="", "", 'بيانات المنشأة و تردد العيادات'!F23)</f>
        <v/>
      </c>
      <c r="H11" s="26" t="str">
        <f>IF('بيانات المنشأة و تردد العيادات'!G23="", "", 'بيانات المنشأة و تردد العيادات'!G23)</f>
        <v/>
      </c>
      <c r="I11" s="26">
        <f>IF('بيانات المنشأة و تردد العيادات'!H23="", "", 'بيانات المنشأة و تردد العيادات'!H23)</f>
        <v>69</v>
      </c>
      <c r="J11" s="26" t="str">
        <f>IF('بيانات المنشأة و تردد العيادات'!I23="", "", 'بيانات المنشأة و تردد العيادات'!I23)</f>
        <v/>
      </c>
      <c r="K11" s="26" t="str">
        <f>IF('بيانات المنشأة و تردد العيادات'!J23="", "", 'بيانات المنشأة و تردد العيادات'!J23)</f>
        <v/>
      </c>
      <c r="L11" s="26" t="str">
        <f>IF('بيانات المنشأة و تردد العيادات'!K23="", "", 'بيانات المنشأة و تردد العيادات'!K23)</f>
        <v/>
      </c>
      <c r="M11" s="26" t="str">
        <f>IF('بيانات المنشأة و تردد العيادات'!L23="", "", 'بيانات المنشأة و تردد العيادات'!L23)</f>
        <v/>
      </c>
      <c r="N11" s="26" t="str">
        <f>IF('بيانات المنشأة و تردد العيادات'!M23="", "", 'بيانات المنشأة و تردد العيادات'!M23)</f>
        <v/>
      </c>
      <c r="O11" s="27" t="str">
        <f>IF('بيانات المنشأة و تردد العيادات'!N23="", "", 'بيانات المنشأة و تردد العيادات'!N23)</f>
        <v/>
      </c>
    </row>
    <row r="12" spans="1:15" x14ac:dyDescent="0.35">
      <c r="A12" s="28">
        <v>8</v>
      </c>
      <c r="B12" s="159" t="s">
        <v>148</v>
      </c>
      <c r="C12" s="23" t="s">
        <v>149</v>
      </c>
      <c r="D12" s="23" t="str">
        <f>IF('بيانات المنشأة و تردد العيادات'!C24="", "", 'بيانات المنشأة و تردد العيادات'!C24)</f>
        <v/>
      </c>
      <c r="E12" s="23" t="str">
        <f>IF('بيانات المنشأة و تردد العيادات'!D24="", "", 'بيانات المنشأة و تردد العيادات'!D24)</f>
        <v/>
      </c>
      <c r="F12" s="23" t="str">
        <f>IF('بيانات المنشأة و تردد العيادات'!E24="", "", 'بيانات المنشأة و تردد العيادات'!E24)</f>
        <v/>
      </c>
      <c r="G12" s="23" t="str">
        <f>IF('بيانات المنشأة و تردد العيادات'!F24="", "", 'بيانات المنشأة و تردد العيادات'!F24)</f>
        <v/>
      </c>
      <c r="H12" s="23" t="str">
        <f>IF('بيانات المنشأة و تردد العيادات'!G24="", "", 'بيانات المنشأة و تردد العيادات'!G24)</f>
        <v/>
      </c>
      <c r="I12" s="23">
        <f>IF('بيانات المنشأة و تردد العيادات'!H24="", "", 'بيانات المنشأة و تردد العيادات'!H24)</f>
        <v>250</v>
      </c>
      <c r="J12" s="23" t="str">
        <f>IF('بيانات المنشأة و تردد العيادات'!I24="", "", 'بيانات المنشأة و تردد العيادات'!I24)</f>
        <v/>
      </c>
      <c r="K12" s="23" t="str">
        <f>IF('بيانات المنشأة و تردد العيادات'!J24="", "", 'بيانات المنشأة و تردد العيادات'!J24)</f>
        <v/>
      </c>
      <c r="L12" s="23" t="str">
        <f>IF('بيانات المنشأة و تردد العيادات'!K24="", "", 'بيانات المنشأة و تردد العيادات'!K24)</f>
        <v/>
      </c>
      <c r="M12" s="23" t="str">
        <f>IF('بيانات المنشأة و تردد العيادات'!L24="", "", 'بيانات المنشأة و تردد العيادات'!L24)</f>
        <v/>
      </c>
      <c r="N12" s="23" t="str">
        <f>IF('بيانات المنشأة و تردد العيادات'!M24="", "", 'بيانات المنشأة و تردد العيادات'!M24)</f>
        <v/>
      </c>
      <c r="O12" s="24" t="str">
        <f>IF('بيانات المنشأة و تردد العيادات'!N24="", "", 'بيانات المنشأة و تردد العيادات'!N24)</f>
        <v/>
      </c>
    </row>
    <row r="13" spans="1:15" s="138" customFormat="1" x14ac:dyDescent="0.35">
      <c r="A13" s="163"/>
      <c r="B13" s="164"/>
      <c r="C13" s="165"/>
      <c r="D13" s="165"/>
      <c r="E13" s="165"/>
      <c r="F13" s="165"/>
      <c r="G13" s="165"/>
      <c r="H13" s="165"/>
      <c r="I13" s="165"/>
      <c r="J13" s="165"/>
      <c r="K13" s="165"/>
      <c r="L13" s="165"/>
      <c r="M13" s="165"/>
      <c r="N13" s="165"/>
      <c r="O13" s="166"/>
    </row>
    <row r="14" spans="1:15" ht="24.75" customHeight="1" x14ac:dyDescent="0.35">
      <c r="A14" s="207" t="s">
        <v>187</v>
      </c>
      <c r="B14" s="207"/>
      <c r="C14" s="207"/>
      <c r="D14" s="207"/>
      <c r="E14" s="207"/>
      <c r="F14" s="207"/>
      <c r="G14" s="207"/>
      <c r="H14" s="207"/>
      <c r="I14" s="207"/>
      <c r="J14" s="207"/>
      <c r="K14" s="207"/>
      <c r="L14" s="207"/>
      <c r="M14" s="207"/>
      <c r="N14" s="207"/>
      <c r="O14" s="207"/>
    </row>
    <row r="15" spans="1:15" s="156" customFormat="1" x14ac:dyDescent="0.35">
      <c r="A15" s="186">
        <v>9</v>
      </c>
      <c r="B15" s="187" t="s">
        <v>151</v>
      </c>
      <c r="C15" s="188" t="s">
        <v>150</v>
      </c>
      <c r="D15" s="189" t="str">
        <f>IF(OR(ISBLANK('الاجمالي الشهري'!B50), 'الاجمالي الشهري'!B50="", ISBLANK('الاجمالي الشهري'!B51), 'الاجمالي الشهري'!B51="", 'الاجمالي الشهري'!B51=0), "", 'الاجمالي الشهري'!B50/'الاجمالي الشهري'!B51)</f>
        <v/>
      </c>
      <c r="E15" s="189" t="str">
        <f>IF(OR(ISBLANK('الاجمالي الشهري'!C50), 'الاجمالي الشهري'!C50="", ISBLANK('الاجمالي الشهري'!C51), 'الاجمالي الشهري'!C51="", 'الاجمالي الشهري'!C51=0), "", 'الاجمالي الشهري'!C50/'الاجمالي الشهري'!C51)</f>
        <v/>
      </c>
      <c r="F15" s="189" t="str">
        <f>IF(OR(ISBLANK('الاجمالي الشهري'!D50), 'الاجمالي الشهري'!D50="", ISBLANK('الاجمالي الشهري'!D51), 'الاجمالي الشهري'!D51="", 'الاجمالي الشهري'!D51=0), "", 'الاجمالي الشهري'!D50/'الاجمالي الشهري'!D51)</f>
        <v/>
      </c>
      <c r="G15" s="189" t="str">
        <f>IF(OR(ISBLANK('الاجمالي الشهري'!E50), 'الاجمالي الشهري'!E50="", ISBLANK('الاجمالي الشهري'!E51), 'الاجمالي الشهري'!E51="", 'الاجمالي الشهري'!E51=0), "", 'الاجمالي الشهري'!E50/'الاجمالي الشهري'!E51)</f>
        <v/>
      </c>
      <c r="H15" s="189" t="str">
        <f>IF(OR(ISBLANK('الاجمالي الشهري'!F50), 'الاجمالي الشهري'!F50="", ISBLANK('الاجمالي الشهري'!F51), 'الاجمالي الشهري'!F51="", 'الاجمالي الشهري'!F51=0), "", 'الاجمالي الشهري'!F50/'الاجمالي الشهري'!F51)</f>
        <v/>
      </c>
      <c r="I15" s="189">
        <f>IF(OR(ISBLANK('الاجمالي الشهري'!G50), 'الاجمالي الشهري'!G50="", ISBLANK('الاجمالي الشهري'!G51), 'الاجمالي الشهري'!G51="", 'الاجمالي الشهري'!G51=0), "", 'الاجمالي الشهري'!G50/'الاجمالي الشهري'!G51)</f>
        <v>8.3333333333333037E-3</v>
      </c>
      <c r="J15" s="189" t="str">
        <f>IF(OR(ISBLANK('الاجمالي الشهري'!H50), 'الاجمالي الشهري'!H50="", ISBLANK('الاجمالي الشهري'!H51), 'الاجمالي الشهري'!H51="", 'الاجمالي الشهري'!H51=0), "", 'الاجمالي الشهري'!H50/'الاجمالي الشهري'!H51)</f>
        <v/>
      </c>
      <c r="K15" s="189" t="str">
        <f>IF(OR(ISBLANK('الاجمالي الشهري'!I50), 'الاجمالي الشهري'!I50="", ISBLANK('الاجمالي الشهري'!I51), 'الاجمالي الشهري'!I51="", 'الاجمالي الشهري'!I51=0), "", 'الاجمالي الشهري'!I50/'الاجمالي الشهري'!I51)</f>
        <v/>
      </c>
      <c r="L15" s="189" t="str">
        <f>IF(OR(ISBLANK('الاجمالي الشهري'!J50), 'الاجمالي الشهري'!J50="", ISBLANK('الاجمالي الشهري'!J51), 'الاجمالي الشهري'!J51="", 'الاجمالي الشهري'!J51=0), "", 'الاجمالي الشهري'!J50/'الاجمالي الشهري'!J51)</f>
        <v/>
      </c>
      <c r="M15" s="189" t="str">
        <f>IF(OR(ISBLANK('الاجمالي الشهري'!K50), 'الاجمالي الشهري'!K50="", ISBLANK('الاجمالي الشهري'!K51), 'الاجمالي الشهري'!K51="", 'الاجمالي الشهري'!K51=0), "", 'الاجمالي الشهري'!K50/'الاجمالي الشهري'!K51)</f>
        <v/>
      </c>
      <c r="N15" s="189" t="str">
        <f>IF(OR(ISBLANK('الاجمالي الشهري'!L50), 'الاجمالي الشهري'!L50="", ISBLANK('الاجمالي الشهري'!L51), 'الاجمالي الشهري'!L51="", 'الاجمالي الشهري'!L51=0), "", 'الاجمالي الشهري'!L50/'الاجمالي الشهري'!L51)</f>
        <v/>
      </c>
      <c r="O15" s="189" t="str">
        <f>IF(OR(ISBLANK('الاجمالي الشهري'!M50), 'الاجمالي الشهري'!M50="", ISBLANK('الاجمالي الشهري'!M51), 'الاجمالي الشهري'!M51="", 'الاجمالي الشهري'!M51=0), "", 'الاجمالي الشهري'!M50/'الاجمالي الشهري'!M51)</f>
        <v/>
      </c>
    </row>
    <row r="16" spans="1:15" x14ac:dyDescent="0.35">
      <c r="A16" s="25">
        <v>10</v>
      </c>
      <c r="B16" s="161" t="s">
        <v>153</v>
      </c>
      <c r="C16" s="37" t="s">
        <v>152</v>
      </c>
      <c r="D16" s="41" t="str">
        <f>IF(OR(ISBLANK('الاجمالي الشهري'!B52), 'الاجمالي الشهري'!B52="", ISBLANK('الاجمالي الشهري'!B53), 'الاجمالي الشهري'!B53="", 'الاجمالي الشهري'!B53=0), "", 'الاجمالي الشهري'!B52/'الاجمالي الشهري'!B53)</f>
        <v/>
      </c>
      <c r="E16" s="41" t="str">
        <f>IF(OR(ISBLANK('الاجمالي الشهري'!C52), 'الاجمالي الشهري'!C52="", ISBLANK('الاجمالي الشهري'!C53), 'الاجمالي الشهري'!C53="", 'الاجمالي الشهري'!C53=0), "", 'الاجمالي الشهري'!C52/'الاجمالي الشهري'!C53)</f>
        <v/>
      </c>
      <c r="F16" s="41" t="str">
        <f>IF(OR(ISBLANK('الاجمالي الشهري'!D52), 'الاجمالي الشهري'!D52="", ISBLANK('الاجمالي الشهري'!D53), 'الاجمالي الشهري'!D53="", 'الاجمالي الشهري'!D53=0), "", 'الاجمالي الشهري'!D52/'الاجمالي الشهري'!D53)</f>
        <v/>
      </c>
      <c r="G16" s="41" t="str">
        <f>IF(OR(ISBLANK('الاجمالي الشهري'!E52), 'الاجمالي الشهري'!E52="", ISBLANK('الاجمالي الشهري'!E53), 'الاجمالي الشهري'!E53="", 'الاجمالي الشهري'!E53=0), "", 'الاجمالي الشهري'!E52/'الاجمالي الشهري'!E53)</f>
        <v/>
      </c>
      <c r="H16" s="41" t="str">
        <f>IF(OR(ISBLANK('الاجمالي الشهري'!F52), 'الاجمالي الشهري'!F52="", ISBLANK('الاجمالي الشهري'!F53), 'الاجمالي الشهري'!F53="", 'الاجمالي الشهري'!F53=0), "", 'الاجمالي الشهري'!F52/'الاجمالي الشهري'!F53)</f>
        <v/>
      </c>
      <c r="I16" s="41">
        <f>IF(OR(ISBLANK('الاجمالي الشهري'!G52), 'الاجمالي الشهري'!G52="", ISBLANK('الاجمالي الشهري'!G53), 'الاجمالي الشهري'!G53="", 'الاجمالي الشهري'!G53=0), "", 'الاجمالي الشهري'!G52/'الاجمالي الشهري'!G53)</f>
        <v>2.5000000000000001E-2</v>
      </c>
      <c r="J16" s="41" t="str">
        <f>IF(OR(ISBLANK('الاجمالي الشهري'!H52), 'الاجمالي الشهري'!H52="", ISBLANK('الاجمالي الشهري'!H53), 'الاجمالي الشهري'!H53="", 'الاجمالي الشهري'!H53=0), "", 'الاجمالي الشهري'!H52/'الاجمالي الشهري'!H53)</f>
        <v/>
      </c>
      <c r="K16" s="41" t="str">
        <f>IF(OR(ISBLANK('الاجمالي الشهري'!I52), 'الاجمالي الشهري'!I52="", ISBLANK('الاجمالي الشهري'!I53), 'الاجمالي الشهري'!I53="", 'الاجمالي الشهري'!I53=0), "", 'الاجمالي الشهري'!I52/'الاجمالي الشهري'!I53)</f>
        <v/>
      </c>
      <c r="L16" s="41" t="str">
        <f>IF(OR(ISBLANK('الاجمالي الشهري'!J52), 'الاجمالي الشهري'!J52="", ISBLANK('الاجمالي الشهري'!J53), 'الاجمالي الشهري'!J53="", 'الاجمالي الشهري'!J53=0), "", 'الاجمالي الشهري'!J52/'الاجمالي الشهري'!J53)</f>
        <v/>
      </c>
      <c r="M16" s="41" t="str">
        <f>IF(OR(ISBLANK('الاجمالي الشهري'!K52), 'الاجمالي الشهري'!K52="", ISBLANK('الاجمالي الشهري'!K53), 'الاجمالي الشهري'!K53="", 'الاجمالي الشهري'!K53=0), "", 'الاجمالي الشهري'!K52/'الاجمالي الشهري'!K53)</f>
        <v/>
      </c>
      <c r="N16" s="41" t="str">
        <f>IF(OR(ISBLANK('الاجمالي الشهري'!L52), 'الاجمالي الشهري'!L52="", ISBLANK('الاجمالي الشهري'!L53), 'الاجمالي الشهري'!L53="", 'الاجمالي الشهري'!L53=0), "", 'الاجمالي الشهري'!L52/'الاجمالي الشهري'!L53)</f>
        <v/>
      </c>
      <c r="O16" s="41" t="str">
        <f>IF(OR(ISBLANK('الاجمالي الشهري'!M52), 'الاجمالي الشهري'!M52="", ISBLANK('الاجمالي الشهري'!M53), 'الاجمالي الشهري'!M53="", 'الاجمالي الشهري'!M53=0), "", 'الاجمالي الشهري'!M52/'الاجمالي الشهري'!M53)</f>
        <v/>
      </c>
    </row>
    <row r="17" spans="1:15" s="138" customFormat="1" x14ac:dyDescent="0.35">
      <c r="A17" s="169"/>
      <c r="B17" s="170"/>
      <c r="C17" s="171"/>
      <c r="D17" s="172"/>
      <c r="E17" s="172"/>
      <c r="F17" s="172"/>
      <c r="G17" s="172"/>
      <c r="H17" s="172"/>
      <c r="I17" s="172"/>
      <c r="J17" s="172"/>
      <c r="K17" s="172"/>
      <c r="L17" s="172"/>
      <c r="M17" s="172"/>
      <c r="N17" s="172"/>
      <c r="O17" s="172"/>
    </row>
    <row r="18" spans="1:15" ht="24.75" customHeight="1" x14ac:dyDescent="0.35">
      <c r="A18" s="208" t="s">
        <v>186</v>
      </c>
      <c r="B18" s="208"/>
      <c r="C18" s="208"/>
      <c r="D18" s="208"/>
      <c r="E18" s="208"/>
      <c r="F18" s="208"/>
      <c r="G18" s="208"/>
      <c r="H18" s="208"/>
      <c r="I18" s="208"/>
      <c r="J18" s="208"/>
      <c r="K18" s="208"/>
      <c r="L18" s="208"/>
      <c r="M18" s="208"/>
      <c r="N18" s="208"/>
      <c r="O18" s="208"/>
    </row>
    <row r="19" spans="1:15" s="43" customFormat="1" x14ac:dyDescent="0.35">
      <c r="A19" s="28">
        <v>11</v>
      </c>
      <c r="B19" s="161" t="s">
        <v>193</v>
      </c>
      <c r="C19" s="37" t="s">
        <v>189</v>
      </c>
      <c r="D19" s="41">
        <f>IF(OR(ISBLANK('الاجمالي الشهري'!B35), 'الاجمالي الشهري'!B35="", ISBLANK('الاجمالي الشهري'!B32), 'الاجمالي الشهري'!B32="", 'الاجمالي الشهري'!B32=0), "", 'الاجمالي الشهري'!B35/'الاجمالي الشهري'!B32)</f>
        <v>0.2</v>
      </c>
      <c r="E19" s="44" t="str">
        <f>IF(OR(ISBLANK('الاجمالي الشهري'!C35), 'الاجمالي الشهري'!C35="", ISBLANK('الاجمالي الشهري'!C32), 'الاجمالي الشهري'!C32="", 'الاجمالي الشهري'!C32=0), "", 'الاجمالي الشهري'!C35/'الاجمالي الشهري'!C32)</f>
        <v/>
      </c>
      <c r="F19" s="44" t="str">
        <f>IF(OR(ISBLANK('الاجمالي الشهري'!D35), 'الاجمالي الشهري'!D35="", ISBLANK('الاجمالي الشهري'!D32), 'الاجمالي الشهري'!D32="", 'الاجمالي الشهري'!D32=0), "", 'الاجمالي الشهري'!D35/'الاجمالي الشهري'!D32)</f>
        <v/>
      </c>
      <c r="G19" s="41">
        <f>IF(OR(ISBLANK('الاجمالي الشهري'!E35), 'الاجمالي الشهري'!E35="", ISBLANK('الاجمالي الشهري'!E32), 'الاجمالي الشهري'!E32="", 'الاجمالي الشهري'!E32=0), "", 'الاجمالي الشهري'!E35/'الاجمالي الشهري'!E32)</f>
        <v>0.18461538461538463</v>
      </c>
      <c r="H19" s="44" t="str">
        <f>IF(OR(ISBLANK('الاجمالي الشهري'!F35), 'الاجمالي الشهري'!F35="", ISBLANK('الاجمالي الشهري'!F32), 'الاجمالي الشهري'!F32="", 'الاجمالي الشهري'!F32=0), "", 'الاجمالي الشهري'!F35/'الاجمالي الشهري'!F32)</f>
        <v/>
      </c>
      <c r="I19" s="44" t="str">
        <f>IF(OR(ISBLANK('الاجمالي الشهري'!G35), 'الاجمالي الشهري'!G35="", ISBLANK('الاجمالي الشهري'!G32), 'الاجمالي الشهري'!G32="", 'الاجمالي الشهري'!G32=0), "", 'الاجمالي الشهري'!G35/'الاجمالي الشهري'!G32)</f>
        <v/>
      </c>
      <c r="J19" s="41" t="str">
        <f>IF(OR(ISBLANK('الاجمالي الشهري'!H35), 'الاجمالي الشهري'!H35="", ISBLANK('الاجمالي الشهري'!H32), 'الاجمالي الشهري'!H32="", 'الاجمالي الشهري'!H32=0), "", 'الاجمالي الشهري'!H35/'الاجمالي الشهري'!H32)</f>
        <v/>
      </c>
      <c r="K19" s="44" t="str">
        <f>IF(OR(ISBLANK('الاجمالي الشهري'!I35), 'الاجمالي الشهري'!I35="", ISBLANK('الاجمالي الشهري'!I32), 'الاجمالي الشهري'!I32="", 'الاجمالي الشهري'!I32=0), "", 'الاجمالي الشهري'!I35/'الاجمالي الشهري'!I32)</f>
        <v/>
      </c>
      <c r="L19" s="44" t="str">
        <f>IF(OR(ISBLANK('الاجمالي الشهري'!J35), 'الاجمالي الشهري'!J35="", ISBLANK('الاجمالي الشهري'!J32), 'الاجمالي الشهري'!J32="", 'الاجمالي الشهري'!J32=0), "", 'الاجمالي الشهري'!J35/'الاجمالي الشهري'!J32)</f>
        <v/>
      </c>
      <c r="M19" s="41" t="str">
        <f>IF(OR(ISBLANK('الاجمالي الشهري'!K35), 'الاجمالي الشهري'!K35="", ISBLANK('الاجمالي الشهري'!K32), 'الاجمالي الشهري'!K32="", 'الاجمالي الشهري'!K32=0), "", 'الاجمالي الشهري'!K35/'الاجمالي الشهري'!K32)</f>
        <v/>
      </c>
      <c r="N19" s="44" t="str">
        <f>IF(OR(ISBLANK('الاجمالي الشهري'!L35), 'الاجمالي الشهري'!L35="", ISBLANK('الاجمالي الشهري'!L32), 'الاجمالي الشهري'!L32="", 'الاجمالي الشهري'!L32=0), "", 'الاجمالي الشهري'!L35/'الاجمالي الشهري'!L32)</f>
        <v/>
      </c>
      <c r="O19" s="44" t="str">
        <f>IF(OR(ISBLANK('الاجمالي الشهري'!M35), 'الاجمالي الشهري'!M35="", ISBLANK('الاجمالي الشهري'!M32), 'الاجمالي الشهري'!M32="", 'الاجمالي الشهري'!M32=0), "", 'الاجمالي الشهري'!M35/'الاجمالي الشهري'!M32)</f>
        <v/>
      </c>
    </row>
    <row r="20" spans="1:15" s="143" customFormat="1" x14ac:dyDescent="0.35">
      <c r="A20" s="182">
        <v>12</v>
      </c>
      <c r="B20" s="183" t="s">
        <v>157</v>
      </c>
      <c r="C20" s="184" t="s">
        <v>154</v>
      </c>
      <c r="D20" s="185">
        <f>IF(OR('الاجمالي الشهري'!B33="", 'الاجمالي الشهري'!B29="", 'الاجمالي الشهري'!B29=0), "", 'الاجمالي الشهري'!B33/'الاجمالي الشهري'!B29)</f>
        <v>0.5</v>
      </c>
      <c r="E20" s="185" t="str">
        <f>IF(OR('الاجمالي الشهري'!C33="", 'الاجمالي الشهري'!C29="", 'الاجمالي الشهري'!C29=0), "", 'الاجمالي الشهري'!C33/'الاجمالي الشهري'!C29)</f>
        <v/>
      </c>
      <c r="F20" s="185" t="str">
        <f>IF(OR('الاجمالي الشهري'!D33="", 'الاجمالي الشهري'!D29="", 'الاجمالي الشهري'!D29=0), "", 'الاجمالي الشهري'!D33/'الاجمالي الشهري'!D29)</f>
        <v/>
      </c>
      <c r="G20" s="185">
        <f>IF(OR('الاجمالي الشهري'!E33="", 'الاجمالي الشهري'!E29="", 'الاجمالي الشهري'!E29=0), "", 'الاجمالي الشهري'!E33/'الاجمالي الشهري'!E29)</f>
        <v>0.5</v>
      </c>
      <c r="H20" s="185" t="str">
        <f>IF(OR('الاجمالي الشهري'!F33="", 'الاجمالي الشهري'!F29="", 'الاجمالي الشهري'!F29=0), "", 'الاجمالي الشهري'!F33/'الاجمالي الشهري'!F29)</f>
        <v/>
      </c>
      <c r="I20" s="185" t="str">
        <f>IF(OR('الاجمالي الشهري'!G33="", 'الاجمالي الشهري'!G29="", 'الاجمالي الشهري'!G29=0), "", 'الاجمالي الشهري'!G33/'الاجمالي الشهري'!G29)</f>
        <v/>
      </c>
      <c r="J20" s="185" t="str">
        <f>IF(OR('الاجمالي الشهري'!H33="", 'الاجمالي الشهري'!H29="", 'الاجمالي الشهري'!H29=0), "", 'الاجمالي الشهري'!H33/'الاجمالي الشهري'!H29)</f>
        <v/>
      </c>
      <c r="K20" s="185" t="str">
        <f>IF(OR('الاجمالي الشهري'!I33="", 'الاجمالي الشهري'!I29="", 'الاجمالي الشهري'!I29=0), "", 'الاجمالي الشهري'!I33/'الاجمالي الشهري'!I29)</f>
        <v/>
      </c>
      <c r="L20" s="185" t="str">
        <f>IF(OR('الاجمالي الشهري'!J33="", 'الاجمالي الشهري'!J29="", 'الاجمالي الشهري'!J29=0), "", 'الاجمالي الشهري'!J33/'الاجمالي الشهري'!J29)</f>
        <v/>
      </c>
      <c r="M20" s="185" t="str">
        <f>IF(OR('الاجمالي الشهري'!K33="", 'الاجمالي الشهري'!K29="", 'الاجمالي الشهري'!K29=0), "", 'الاجمالي الشهري'!K33/'الاجمالي الشهري'!K29)</f>
        <v/>
      </c>
      <c r="N20" s="185" t="str">
        <f>IF(OR('الاجمالي الشهري'!L33="", 'الاجمالي الشهري'!L29="", 'الاجمالي الشهري'!L29=0), "", 'الاجمالي الشهري'!L33/'الاجمالي الشهري'!L29)</f>
        <v/>
      </c>
      <c r="O20" s="185" t="str">
        <f>IF(OR('الاجمالي الشهري'!M33="", 'الاجمالي الشهري'!M29="", 'الاجمالي الشهري'!M29=0), "", 'الاجمالي الشهري'!M33/'الاجمالي الشهري'!M29)</f>
        <v/>
      </c>
    </row>
    <row r="21" spans="1:15" x14ac:dyDescent="0.35">
      <c r="A21" s="28">
        <v>13</v>
      </c>
      <c r="B21" s="161" t="s">
        <v>158</v>
      </c>
      <c r="C21" s="37" t="s">
        <v>155</v>
      </c>
      <c r="D21" s="39">
        <f>IF(OR('الاجمالي الشهري'!B34="", 'الاجمالي الشهري'!B30="", 'الاجمالي الشهري'!B30=0), "", 'الاجمالي الشهري'!B34/'الاجمالي الشهري'!B30)</f>
        <v>0.75</v>
      </c>
      <c r="E21" s="40" t="str">
        <f>IF(OR('الاجمالي الشهري'!C34="", 'الاجمالي الشهري'!C30="", 'الاجمالي الشهري'!C30=0), "", 'الاجمالي الشهري'!C34/'الاجمالي الشهري'!C30)</f>
        <v/>
      </c>
      <c r="F21" s="40" t="str">
        <f>IF(OR('الاجمالي الشهري'!D34="", 'الاجمالي الشهري'!D30="", 'الاجمالي الشهري'!D30=0), "", 'الاجمالي الشهري'!D34/'الاجمالي الشهري'!D30)</f>
        <v/>
      </c>
      <c r="G21" s="39">
        <f>IF(OR('الاجمالي الشهري'!E34="", 'الاجمالي الشهري'!E30="", 'الاجمالي الشهري'!E30=0), "", 'الاجمالي الشهري'!E34/'الاجمالي الشهري'!E30)</f>
        <v>0.6</v>
      </c>
      <c r="H21" s="40" t="str">
        <f>IF(OR('الاجمالي الشهري'!F34="", 'الاجمالي الشهري'!F30="", 'الاجمالي الشهري'!F30=0), "", 'الاجمالي الشهري'!F34/'الاجمالي الشهري'!F30)</f>
        <v/>
      </c>
      <c r="I21" s="40" t="str">
        <f>IF(OR('الاجمالي الشهري'!G34="", 'الاجمالي الشهري'!G30="", 'الاجمالي الشهري'!G30=0), "", 'الاجمالي الشهري'!G34/'الاجمالي الشهري'!G30)</f>
        <v/>
      </c>
      <c r="J21" s="39" t="str">
        <f>IF(OR('الاجمالي الشهري'!H34="", 'الاجمالي الشهري'!H30="", 'الاجمالي الشهري'!H30=0), "", 'الاجمالي الشهري'!H34/'الاجمالي الشهري'!H30)</f>
        <v/>
      </c>
      <c r="K21" s="40" t="str">
        <f>IF(OR('الاجمالي الشهري'!I34="", 'الاجمالي الشهري'!I30="", 'الاجمالي الشهري'!I30=0), "", 'الاجمالي الشهري'!I34/'الاجمالي الشهري'!I30)</f>
        <v/>
      </c>
      <c r="L21" s="40" t="str">
        <f>IF(OR('الاجمالي الشهري'!J34="", 'الاجمالي الشهري'!J30="", 'الاجمالي الشهري'!J30=0), "", 'الاجمالي الشهري'!J34/'الاجمالي الشهري'!J30)</f>
        <v/>
      </c>
      <c r="M21" s="39" t="str">
        <f>IF(OR('الاجمالي الشهري'!K34="", 'الاجمالي الشهري'!K30="", 'الاجمالي الشهري'!K30=0), "", 'الاجمالي الشهري'!K34/'الاجمالي الشهري'!K30)</f>
        <v/>
      </c>
      <c r="N21" s="40" t="str">
        <f>IF(OR('الاجمالي الشهري'!L34="", 'الاجمالي الشهري'!L30="", 'الاجمالي الشهري'!L30=0), "", 'الاجمالي الشهري'!L34/'الاجمالي الشهري'!L30)</f>
        <v/>
      </c>
      <c r="O21" s="40" t="str">
        <f>IF(OR('الاجمالي الشهري'!M34="", 'الاجمالي الشهري'!M30="", 'الاجمالي الشهري'!M30=0), "", 'الاجمالي الشهري'!M34/'الاجمالي الشهري'!M30)</f>
        <v/>
      </c>
    </row>
    <row r="22" spans="1:15" s="143" customFormat="1" x14ac:dyDescent="0.35">
      <c r="A22" s="182">
        <v>14</v>
      </c>
      <c r="B22" s="183" t="s">
        <v>159</v>
      </c>
      <c r="C22" s="184" t="s">
        <v>156</v>
      </c>
      <c r="D22" s="185">
        <f>IF(OR('الاجمالي الشهري'!B35="", 'الاجمالي الشهري'!B31="", 'الاجمالي الشهري'!B31=0), "", 'الاجمالي الشهري'!B35/'الاجمالي الشهري'!B31)</f>
        <v>0.375</v>
      </c>
      <c r="E22" s="185" t="str">
        <f>IF(OR('الاجمالي الشهري'!C35="", 'الاجمالي الشهري'!C31="", 'الاجمالي الشهري'!C31=0), "", 'الاجمالي الشهري'!C35/'الاجمالي الشهري'!C31)</f>
        <v/>
      </c>
      <c r="F22" s="185" t="str">
        <f>IF(OR('الاجمالي الشهري'!D35="", 'الاجمالي الشهري'!D31="", 'الاجمالي الشهري'!D31=0), "", 'الاجمالي الشهري'!D35/'الاجمالي الشهري'!D31)</f>
        <v/>
      </c>
      <c r="G22" s="185">
        <f>IF(OR('الاجمالي الشهري'!E35="", 'الاجمالي الشهري'!E31="", 'الاجمالي الشهري'!E31=0), "", 'الاجمالي الشهري'!E35/'الاجمالي الشهري'!E31)</f>
        <v>0.32432432432432434</v>
      </c>
      <c r="H22" s="185" t="str">
        <f>IF(OR('الاجمالي الشهري'!F35="", 'الاجمالي الشهري'!F31="", 'الاجمالي الشهري'!F31=0), "", 'الاجمالي الشهري'!F35/'الاجمالي الشهري'!F31)</f>
        <v/>
      </c>
      <c r="I22" s="185" t="str">
        <f>IF(OR('الاجمالي الشهري'!G35="", 'الاجمالي الشهري'!G31="", 'الاجمالي الشهري'!G31=0), "", 'الاجمالي الشهري'!G35/'الاجمالي الشهري'!G31)</f>
        <v/>
      </c>
      <c r="J22" s="185" t="str">
        <f>IF(OR('الاجمالي الشهري'!H35="", 'الاجمالي الشهري'!H31="", 'الاجمالي الشهري'!H31=0), "", 'الاجمالي الشهري'!H35/'الاجمالي الشهري'!H31)</f>
        <v/>
      </c>
      <c r="K22" s="185" t="str">
        <f>IF(OR('الاجمالي الشهري'!I35="", 'الاجمالي الشهري'!I31="", 'الاجمالي الشهري'!I31=0), "", 'الاجمالي الشهري'!I35/'الاجمالي الشهري'!I31)</f>
        <v/>
      </c>
      <c r="L22" s="185" t="str">
        <f>IF(OR('الاجمالي الشهري'!J35="", 'الاجمالي الشهري'!J31="", 'الاجمالي الشهري'!J31=0), "", 'الاجمالي الشهري'!J35/'الاجمالي الشهري'!J31)</f>
        <v/>
      </c>
      <c r="M22" s="185" t="str">
        <f>IF(OR('الاجمالي الشهري'!K35="", 'الاجمالي الشهري'!K31="", 'الاجمالي الشهري'!K31=0), "", 'الاجمالي الشهري'!K35/'الاجمالي الشهري'!K31)</f>
        <v/>
      </c>
      <c r="N22" s="185" t="str">
        <f>IF(OR('الاجمالي الشهري'!L35="", 'الاجمالي الشهري'!L31="", 'الاجمالي الشهري'!L31=0), "", 'الاجمالي الشهري'!L35/'الاجمالي الشهري'!L31)</f>
        <v/>
      </c>
      <c r="O22" s="185" t="str">
        <f>IF(OR('الاجمالي الشهري'!M35="", 'الاجمالي الشهري'!M31="", 'الاجمالي الشهري'!M31=0), "", 'الاجمالي الشهري'!M35/'الاجمالي الشهري'!M31)</f>
        <v/>
      </c>
    </row>
    <row r="23" spans="1:15" s="138" customFormat="1" x14ac:dyDescent="0.35">
      <c r="A23" s="163"/>
      <c r="B23" s="173"/>
      <c r="C23" s="174"/>
      <c r="D23" s="39"/>
      <c r="E23" s="39"/>
      <c r="F23" s="39"/>
      <c r="G23" s="39"/>
      <c r="H23" s="39"/>
      <c r="I23" s="39"/>
      <c r="J23" s="39"/>
      <c r="K23" s="39"/>
      <c r="L23" s="39"/>
      <c r="M23" s="39"/>
      <c r="N23" s="39"/>
      <c r="O23" s="39"/>
    </row>
    <row r="24" spans="1:15" ht="24.75" customHeight="1" x14ac:dyDescent="0.35">
      <c r="A24" s="209" t="s">
        <v>185</v>
      </c>
      <c r="B24" s="209"/>
      <c r="C24" s="209"/>
      <c r="D24" s="209"/>
      <c r="E24" s="209"/>
      <c r="F24" s="209"/>
      <c r="G24" s="209"/>
      <c r="H24" s="209"/>
      <c r="I24" s="209"/>
      <c r="J24" s="209"/>
      <c r="K24" s="209"/>
      <c r="L24" s="209"/>
      <c r="M24" s="209"/>
      <c r="N24" s="209"/>
      <c r="O24" s="209"/>
    </row>
    <row r="25" spans="1:15" x14ac:dyDescent="0.35">
      <c r="A25" s="28">
        <v>15</v>
      </c>
      <c r="B25" s="161" t="s">
        <v>160</v>
      </c>
      <c r="C25" s="36" t="s">
        <v>162</v>
      </c>
      <c r="D25" s="23">
        <f>IF('الاجمالي الشهري'!B38="", "", 'الاجمالي الشهري'!B38)</f>
        <v>0</v>
      </c>
      <c r="E25" s="23">
        <f>IF('الاجمالي الشهري'!C38="", "", 'الاجمالي الشهري'!C38)</f>
        <v>0</v>
      </c>
      <c r="F25" s="23">
        <f>IF('الاجمالي الشهري'!D38="", "", 'الاجمالي الشهري'!D38)</f>
        <v>0</v>
      </c>
      <c r="G25" s="23">
        <f>IF('الاجمالي الشهري'!E38="", "", 'الاجمالي الشهري'!E38)</f>
        <v>0</v>
      </c>
      <c r="H25" s="23">
        <f>IF('الاجمالي الشهري'!F38="", "", 'الاجمالي الشهري'!F38)</f>
        <v>0</v>
      </c>
      <c r="I25" s="23">
        <f>IF('الاجمالي الشهري'!G38="", "", 'الاجمالي الشهري'!G38)</f>
        <v>2</v>
      </c>
      <c r="J25" s="23">
        <f>IF('الاجمالي الشهري'!H38="", "", 'الاجمالي الشهري'!H38)</f>
        <v>0</v>
      </c>
      <c r="K25" s="23">
        <f>IF('الاجمالي الشهري'!I38="", "", 'الاجمالي الشهري'!I38)</f>
        <v>0</v>
      </c>
      <c r="L25" s="23">
        <f>IF('الاجمالي الشهري'!J38="", "", 'الاجمالي الشهري'!J38)</f>
        <v>0</v>
      </c>
      <c r="M25" s="23">
        <f>IF('الاجمالي الشهري'!K38="", "", 'الاجمالي الشهري'!K38)</f>
        <v>0</v>
      </c>
      <c r="N25" s="23">
        <f>IF('الاجمالي الشهري'!L38="", "", 'الاجمالي الشهري'!L38)</f>
        <v>0</v>
      </c>
      <c r="O25" s="23">
        <f>'الاجمالي الشهري'!M38</f>
        <v>0</v>
      </c>
    </row>
    <row r="26" spans="1:15" s="150" customFormat="1" x14ac:dyDescent="0.35">
      <c r="A26" s="176">
        <v>16</v>
      </c>
      <c r="B26" s="177" t="s">
        <v>164</v>
      </c>
      <c r="C26" s="178" t="s">
        <v>163</v>
      </c>
      <c r="D26" s="179" t="str">
        <f>IF(OR(ISBLANK('الاجمالي الشهري'!B39), 'الاجمالي الشهري'!B39="", ISBLANK('الاجمالي الشهري'!B38), 'الاجمالي الشهري'!B38="", 'الاجمالي الشهري'!B38=0), "", 'الاجمالي الشهري'!B39/'الاجمالي الشهري'!B38)</f>
        <v/>
      </c>
      <c r="E26" s="179" t="str">
        <f>IF(OR(ISBLANK('الاجمالي الشهري'!C39), 'الاجمالي الشهري'!C39="", ISBLANK('الاجمالي الشهري'!C38), 'الاجمالي الشهري'!C38="", 'الاجمالي الشهري'!C38=0), "", 'الاجمالي الشهري'!C39/'الاجمالي الشهري'!C38)</f>
        <v/>
      </c>
      <c r="F26" s="179" t="str">
        <f>IF(OR(ISBLANK('الاجمالي الشهري'!D39), 'الاجمالي الشهري'!D39="", ISBLANK('الاجمالي الشهري'!D38), 'الاجمالي الشهري'!D38="", 'الاجمالي الشهري'!D38=0), "", 'الاجمالي الشهري'!D39/'الاجمالي الشهري'!D38)</f>
        <v/>
      </c>
      <c r="G26" s="179" t="str">
        <f>IF(OR(ISBLANK('الاجمالي الشهري'!E39), 'الاجمالي الشهري'!E39="", ISBLANK('الاجمالي الشهري'!E38), 'الاجمالي الشهري'!E38="", 'الاجمالي الشهري'!E38=0), "", 'الاجمالي الشهري'!E39/'الاجمالي الشهري'!E38)</f>
        <v/>
      </c>
      <c r="H26" s="179" t="str">
        <f>IF(OR(ISBLANK('الاجمالي الشهري'!F39), 'الاجمالي الشهري'!F39="", ISBLANK('الاجمالي الشهري'!F38), 'الاجمالي الشهري'!F38="", 'الاجمالي الشهري'!F38=0), "", 'الاجمالي الشهري'!F39/'الاجمالي الشهري'!F38)</f>
        <v/>
      </c>
      <c r="I26" s="179">
        <f>IF(OR(ISBLANK('الاجمالي الشهري'!G39), 'الاجمالي الشهري'!G39="", ISBLANK('الاجمالي الشهري'!G38), 'الاجمالي الشهري'!G38="", 'الاجمالي الشهري'!G38=0), "", 'الاجمالي الشهري'!G39/'الاجمالي الشهري'!G38)</f>
        <v>0</v>
      </c>
      <c r="J26" s="179" t="str">
        <f>IF(OR(ISBLANK('الاجمالي الشهري'!H39), 'الاجمالي الشهري'!H39="", ISBLANK('الاجمالي الشهري'!H38), 'الاجمالي الشهري'!H38="", 'الاجمالي الشهري'!H38=0), "", 'الاجمالي الشهري'!H39/'الاجمالي الشهري'!H38)</f>
        <v/>
      </c>
      <c r="K26" s="179" t="str">
        <f>IF(OR(ISBLANK('الاجمالي الشهري'!I39), 'الاجمالي الشهري'!I39="", ISBLANK('الاجمالي الشهري'!I38), 'الاجمالي الشهري'!I38="", 'الاجمالي الشهري'!I38=0), "", 'الاجمالي الشهري'!I39/'الاجمالي الشهري'!I38)</f>
        <v/>
      </c>
      <c r="L26" s="179" t="str">
        <f>IF(OR(ISBLANK('الاجمالي الشهري'!J39), 'الاجمالي الشهري'!J39="", ISBLANK('الاجمالي الشهري'!J38), 'الاجمالي الشهري'!J38="", 'الاجمالي الشهري'!J38=0), "", 'الاجمالي الشهري'!J39/'الاجمالي الشهري'!J38)</f>
        <v/>
      </c>
      <c r="M26" s="179" t="str">
        <f>IF(OR(ISBLANK('الاجمالي الشهري'!K39), 'الاجمالي الشهري'!K39="", ISBLANK('الاجمالي الشهري'!K38), 'الاجمالي الشهري'!K38="", 'الاجمالي الشهري'!K38=0), "", 'الاجمالي الشهري'!K39/'الاجمالي الشهري'!K38)</f>
        <v/>
      </c>
      <c r="N26" s="179" t="str">
        <f>IF(OR(ISBLANK('الاجمالي الشهري'!L39), 'الاجمالي الشهري'!L39="", ISBLANK('الاجمالي الشهري'!L38), 'الاجمالي الشهري'!L38="", 'الاجمالي الشهري'!L38=0), "", 'الاجمالي الشهري'!L39/'الاجمالي الشهري'!L38)</f>
        <v/>
      </c>
      <c r="O26" s="179" t="str">
        <f>IF(OR(ISBLANK('الاجمالي الشهري'!M39), 'الاجمالي الشهري'!M39="", ISBLANK('الاجمالي الشهري'!M38), 'الاجمالي الشهري'!M38="", 'الاجمالي الشهري'!M38=0), "", 'الاجمالي الشهري'!M39/'الاجمالي الشهري'!M38)</f>
        <v/>
      </c>
    </row>
    <row r="27" spans="1:15" x14ac:dyDescent="0.35">
      <c r="A27" s="28">
        <v>17</v>
      </c>
      <c r="B27" s="161" t="s">
        <v>166</v>
      </c>
      <c r="C27" s="23" t="s">
        <v>165</v>
      </c>
      <c r="D27" s="41" t="str">
        <f>IF(OR(ISBLANK('الاجمالي الشهري'!B40), 'الاجمالي الشهري'!B40="", ISBLANK('الاجمالي الشهري'!B38), 'الاجمالي الشهري'!B38="", 'الاجمالي الشهري'!B38=0), "", 'الاجمالي الشهري'!B40/'الاجمالي الشهري'!B38)</f>
        <v/>
      </c>
      <c r="E27" s="41" t="str">
        <f>IF(OR(ISBLANK('الاجمالي الشهري'!C40), 'الاجمالي الشهري'!C40="", ISBLANK('الاجمالي الشهري'!C38), 'الاجمالي الشهري'!C38="", 'الاجمالي الشهري'!C38=0), "", 'الاجمالي الشهري'!C40/'الاجمالي الشهري'!C38)</f>
        <v/>
      </c>
      <c r="F27" s="41" t="str">
        <f>IF(OR(ISBLANK('الاجمالي الشهري'!D40), 'الاجمالي الشهري'!D40="", ISBLANK('الاجمالي الشهري'!D38), 'الاجمالي الشهري'!D38="", 'الاجمالي الشهري'!D38=0), "", 'الاجمالي الشهري'!D40/'الاجمالي الشهري'!D38)</f>
        <v/>
      </c>
      <c r="G27" s="41" t="str">
        <f>IF(OR(ISBLANK('الاجمالي الشهري'!E40), 'الاجمالي الشهري'!E40="", ISBLANK('الاجمالي الشهري'!E38), 'الاجمالي الشهري'!E38="", 'الاجمالي الشهري'!E38=0), "", 'الاجمالي الشهري'!E40/'الاجمالي الشهري'!E38)</f>
        <v/>
      </c>
      <c r="H27" s="41" t="str">
        <f>IF(OR(ISBLANK('الاجمالي الشهري'!F40), 'الاجمالي الشهري'!F40="", ISBLANK('الاجمالي الشهري'!F38), 'الاجمالي الشهري'!F38="", 'الاجمالي الشهري'!F38=0), "", 'الاجمالي الشهري'!F40/'الاجمالي الشهري'!F38)</f>
        <v/>
      </c>
      <c r="I27" s="41">
        <f>IF(OR(ISBLANK('الاجمالي الشهري'!G40), 'الاجمالي الشهري'!G40="", ISBLANK('الاجمالي الشهري'!G38), 'الاجمالي الشهري'!G38="", 'الاجمالي الشهري'!G38=0), "", 'الاجمالي الشهري'!G40/'الاجمالي الشهري'!G38)</f>
        <v>0.5</v>
      </c>
      <c r="J27" s="41" t="str">
        <f>IF(OR(ISBLANK('الاجمالي الشهري'!H40), 'الاجمالي الشهري'!H40="", ISBLANK('الاجمالي الشهري'!H38), 'الاجمالي الشهري'!H38="", 'الاجمالي الشهري'!H38=0), "", 'الاجمالي الشهري'!H40/'الاجمالي الشهري'!H38)</f>
        <v/>
      </c>
      <c r="K27" s="41" t="str">
        <f>IF(OR(ISBLANK('الاجمالي الشهري'!I40), 'الاجمالي الشهري'!I40="", ISBLANK('الاجمالي الشهري'!I38), 'الاجمالي الشهري'!I38="", 'الاجمالي الشهري'!I38=0), "", 'الاجمالي الشهري'!I40/'الاجمالي الشهري'!I38)</f>
        <v/>
      </c>
      <c r="L27" s="41" t="str">
        <f>IF(OR(ISBLANK('الاجمالي الشهري'!J40), 'الاجمالي الشهري'!J40="", ISBLANK('الاجمالي الشهري'!J38), 'الاجمالي الشهري'!J38="", 'الاجمالي الشهري'!J38=0), "", 'الاجمالي الشهري'!J40/'الاجمالي الشهري'!J38)</f>
        <v/>
      </c>
      <c r="M27" s="41" t="str">
        <f>IF(OR(ISBLANK('الاجمالي الشهري'!K40), 'الاجمالي الشهري'!K40="", ISBLANK('الاجمالي الشهري'!K38), 'الاجمالي الشهري'!K38="", 'الاجمالي الشهري'!K38=0), "", 'الاجمالي الشهري'!K40/'الاجمالي الشهري'!K38)</f>
        <v/>
      </c>
      <c r="N27" s="41" t="str">
        <f>IF(OR(ISBLANK('الاجمالي الشهري'!L40), 'الاجمالي الشهري'!L40="", ISBLANK('الاجمالي الشهري'!L38), 'الاجمالي الشهري'!L38="", 'الاجمالي الشهري'!L38=0), "", 'الاجمالي الشهري'!L40/'الاجمالي الشهري'!L38)</f>
        <v/>
      </c>
      <c r="O27" s="41" t="str">
        <f>IF(OR(ISBLANK('الاجمالي الشهري'!M40), 'الاجمالي الشهري'!M40="", ISBLANK('الاجمالي الشهري'!M38), 'الاجمالي الشهري'!M38="", 'الاجمالي الشهري'!M38=0), "", 'الاجمالي الشهري'!M40/'الاجمالي الشهري'!M38)</f>
        <v/>
      </c>
    </row>
    <row r="28" spans="1:15" s="150" customFormat="1" x14ac:dyDescent="0.35">
      <c r="A28" s="176">
        <v>18</v>
      </c>
      <c r="B28" s="177" t="s">
        <v>167</v>
      </c>
      <c r="C28" s="178" t="s">
        <v>191</v>
      </c>
      <c r="D28" s="180" t="str">
        <f>IF(OR(ISBLANK('الاجمالي الشهري'!B44), 'الاجمالي الشهري'!B44="", ISBLANK('الاجمالي الشهري'!B43), 'الاجمالي الشهري'!B43="", 'الاجمالي الشهري'!B43=0), "", 'الاجمالي الشهري'!B44/'الاجمالي الشهري'!B43)</f>
        <v/>
      </c>
      <c r="E28" s="180" t="str">
        <f>IF(OR(ISBLANK('الاجمالي الشهري'!C44), 'الاجمالي الشهري'!C44="", ISBLANK('الاجمالي الشهري'!C43), 'الاجمالي الشهري'!C43="", 'الاجمالي الشهري'!C43=0), "", 'الاجمالي الشهري'!C44/'الاجمالي الشهري'!C43)</f>
        <v/>
      </c>
      <c r="F28" s="180" t="str">
        <f>IF(OR(ISBLANK('الاجمالي الشهري'!D44), 'الاجمالي الشهري'!D44="", ISBLANK('الاجمالي الشهري'!D43), 'الاجمالي الشهري'!D43="", 'الاجمالي الشهري'!D43=0), "", 'الاجمالي الشهري'!D44/'الاجمالي الشهري'!D43)</f>
        <v/>
      </c>
      <c r="G28" s="180" t="str">
        <f>IF(OR(ISBLANK('الاجمالي الشهري'!E44), 'الاجمالي الشهري'!E44="", ISBLANK('الاجمالي الشهري'!E43), 'الاجمالي الشهري'!E43="", 'الاجمالي الشهري'!E43=0), "", 'الاجمالي الشهري'!E44/'الاجمالي الشهري'!E43)</f>
        <v/>
      </c>
      <c r="H28" s="180" t="str">
        <f>IF(OR(ISBLANK('الاجمالي الشهري'!F44), 'الاجمالي الشهري'!F44="", ISBLANK('الاجمالي الشهري'!F43), 'الاجمالي الشهري'!F43="", 'الاجمالي الشهري'!F43=0), "", 'الاجمالي الشهري'!F44/'الاجمالي الشهري'!F43)</f>
        <v/>
      </c>
      <c r="I28" s="180">
        <f>IF(OR(ISBLANK('الاجمالي الشهري'!G44), 'الاجمالي الشهري'!G44="", ISBLANK('الاجمالي الشهري'!G43), 'الاجمالي الشهري'!G43="", 'الاجمالي الشهري'!G43=0), "", 'الاجمالي الشهري'!G44/'الاجمالي الشهري'!G43)</f>
        <v>7.6388888888888895E-3</v>
      </c>
      <c r="J28" s="180" t="str">
        <f>IF(OR(ISBLANK('الاجمالي الشهري'!H44), 'الاجمالي الشهري'!H44="", ISBLANK('الاجمالي الشهري'!H43), 'الاجمالي الشهري'!H43="", 'الاجمالي الشهري'!H43=0), "", 'الاجمالي الشهري'!H44/'الاجمالي الشهري'!H43)</f>
        <v/>
      </c>
      <c r="K28" s="180" t="str">
        <f>IF(OR(ISBLANK('الاجمالي الشهري'!I44), 'الاجمالي الشهري'!I44="", ISBLANK('الاجمالي الشهري'!I43), 'الاجمالي الشهري'!I43="", 'الاجمالي الشهري'!I43=0), "", 'الاجمالي الشهري'!I44/'الاجمالي الشهري'!I43)</f>
        <v/>
      </c>
      <c r="L28" s="180" t="str">
        <f>IF(OR(ISBLANK('الاجمالي الشهري'!J44), 'الاجمالي الشهري'!J44="", ISBLANK('الاجمالي الشهري'!J43), 'الاجمالي الشهري'!J43="", 'الاجمالي الشهري'!J43=0), "", 'الاجمالي الشهري'!J44/'الاجمالي الشهري'!J43)</f>
        <v/>
      </c>
      <c r="M28" s="180" t="str">
        <f>IF(OR(ISBLANK('الاجمالي الشهري'!K44), 'الاجمالي الشهري'!K44="", ISBLANK('الاجمالي الشهري'!K43), 'الاجمالي الشهري'!K43="", 'الاجمالي الشهري'!K43=0), "", 'الاجمالي الشهري'!K44/'الاجمالي الشهري'!K43)</f>
        <v/>
      </c>
      <c r="N28" s="180" t="str">
        <f>IF(OR(ISBLANK('الاجمالي الشهري'!L44), 'الاجمالي الشهري'!L44="", ISBLANK('الاجمالي الشهري'!L43), 'الاجمالي الشهري'!L43="", 'الاجمالي الشهري'!L43=0), "", 'الاجمالي الشهري'!L44/'الاجمالي الشهري'!L43)</f>
        <v/>
      </c>
      <c r="O28" s="180" t="str">
        <f>IF(OR(ISBLANK('الاجمالي الشهري'!M44), 'الاجمالي الشهري'!M44="", ISBLANK('الاجمالي الشهري'!M43), 'الاجمالي الشهري'!M43="", 'الاجمالي الشهري'!M43=0), "", 'الاجمالي الشهري'!M44/'الاجمالي الشهري'!M43)</f>
        <v/>
      </c>
    </row>
    <row r="29" spans="1:15" x14ac:dyDescent="0.35">
      <c r="A29" s="28">
        <v>19</v>
      </c>
      <c r="B29" s="161" t="s">
        <v>168</v>
      </c>
      <c r="C29" s="23" t="s">
        <v>192</v>
      </c>
      <c r="D29" s="42" t="str">
        <f>IF(OR(ISBLANK('الاجمالي الشهري'!B45), 'الاجمالي الشهري'!B45="", ISBLANK('الاجمالي الشهري'!B38), 'الاجمالي الشهري'!B38="", 'الاجمالي الشهري'!B38=0), "", 'الاجمالي الشهري'!B45/'الاجمالي الشهري'!B38)</f>
        <v/>
      </c>
      <c r="E29" s="42" t="str">
        <f>IF(OR(ISBLANK('الاجمالي الشهري'!C45), 'الاجمالي الشهري'!C45="", ISBLANK('الاجمالي الشهري'!C38), 'الاجمالي الشهري'!C38="", 'الاجمالي الشهري'!C38=0), "", 'الاجمالي الشهري'!C45/'الاجمالي الشهري'!C38)</f>
        <v/>
      </c>
      <c r="F29" s="42" t="str">
        <f>IF(OR(ISBLANK('الاجمالي الشهري'!D45), 'الاجمالي الشهري'!D45="", ISBLANK('الاجمالي الشهري'!D38), 'الاجمالي الشهري'!D38="", 'الاجمالي الشهري'!D38=0), "", 'الاجمالي الشهري'!D45/'الاجمالي الشهري'!D38)</f>
        <v/>
      </c>
      <c r="G29" s="42" t="str">
        <f>IF(OR(ISBLANK('الاجمالي الشهري'!E45), 'الاجمالي الشهري'!E45="", ISBLANK('الاجمالي الشهري'!E38), 'الاجمالي الشهري'!E38="", 'الاجمالي الشهري'!E38=0), "", 'الاجمالي الشهري'!E45/'الاجمالي الشهري'!E38)</f>
        <v/>
      </c>
      <c r="H29" s="42" t="str">
        <f>IF(OR(ISBLANK('الاجمالي الشهري'!F45), 'الاجمالي الشهري'!F45="", ISBLANK('الاجمالي الشهري'!F38), 'الاجمالي الشهري'!F38="", 'الاجمالي الشهري'!F38=0), "", 'الاجمالي الشهري'!F45/'الاجمالي الشهري'!F38)</f>
        <v/>
      </c>
      <c r="I29" s="42">
        <f>IF(OR(ISBLANK('الاجمالي الشهري'!G45), 'الاجمالي الشهري'!G45="", ISBLANK('الاجمالي الشهري'!G38), 'الاجمالي الشهري'!G38="", 'الاجمالي الشهري'!G38=0), "", 'الاجمالي الشهري'!G45/'الاجمالي الشهري'!G38)</f>
        <v>-0.20347222222222225</v>
      </c>
      <c r="J29" s="42" t="str">
        <f>IF(OR(ISBLANK('الاجمالي الشهري'!H45), 'الاجمالي الشهري'!H45="", ISBLANK('الاجمالي الشهري'!H38), 'الاجمالي الشهري'!H38="", 'الاجمالي الشهري'!H38=0), "", 'الاجمالي الشهري'!H45/'الاجمالي الشهري'!H38)</f>
        <v/>
      </c>
      <c r="K29" s="42" t="str">
        <f>IF(OR(ISBLANK('الاجمالي الشهري'!I45), 'الاجمالي الشهري'!I45="", ISBLANK('الاجمالي الشهري'!I38), 'الاجمالي الشهري'!I38="", 'الاجمالي الشهري'!I38=0), "", 'الاجمالي الشهري'!I45/'الاجمالي الشهري'!I38)</f>
        <v/>
      </c>
      <c r="L29" s="42" t="str">
        <f>IF(OR(ISBLANK('الاجمالي الشهري'!J45), 'الاجمالي الشهري'!J45="", ISBLANK('الاجمالي الشهري'!J38), 'الاجمالي الشهري'!J38="", 'الاجمالي الشهري'!J38=0), "", 'الاجمالي الشهري'!J45/'الاجمالي الشهري'!J38)</f>
        <v/>
      </c>
      <c r="M29" s="42" t="str">
        <f>IF(OR(ISBLANK('الاجمالي الشهري'!K45), 'الاجمالي الشهري'!K45="", ISBLANK('الاجمالي الشهري'!K38), 'الاجمالي الشهري'!K38="", 'الاجمالي الشهري'!K38=0), "", 'الاجمالي الشهري'!K45/'الاجمالي الشهري'!K38)</f>
        <v/>
      </c>
      <c r="N29" s="42" t="str">
        <f>IF(OR(ISBLANK('الاجمالي الشهري'!L45), 'الاجمالي الشهري'!L45="", ISBLANK('الاجمالي الشهري'!L38), 'الاجمالي الشهري'!L38="", 'الاجمالي الشهري'!L38=0), "", 'الاجمالي الشهري'!L45/'الاجمالي الشهري'!L38)</f>
        <v/>
      </c>
      <c r="O29" s="42" t="str">
        <f>IF(OR(ISBLANK('الاجمالي الشهري'!M45), 'الاجمالي الشهري'!M45="", ISBLANK('الاجمالي الشهري'!M38), 'الاجمالي الشهري'!M38="", 'الاجمالي الشهري'!M38=0), "", 'الاجمالي الشهري'!M45/'الاجمالي الشهري'!M38)</f>
        <v/>
      </c>
    </row>
    <row r="30" spans="1:15" s="150" customFormat="1" x14ac:dyDescent="0.35">
      <c r="A30" s="176">
        <v>20</v>
      </c>
      <c r="B30" s="177" t="s">
        <v>169</v>
      </c>
      <c r="C30" s="178" t="s">
        <v>170</v>
      </c>
      <c r="D30" s="181" t="str">
        <f>IF(OR(ISBLANK('الاجمالي الشهري'!B47), 'الاجمالي الشهري'!B47="", ISBLANK('الاجمالي الشهري'!B45), 'الاجمالي الشهري'!B45="", 'الاجمالي الشهري'!B45=0), "", ('الاجمالي الشهري'!B47*2) / ('الاجمالي الشهري'!B45 * 1440))</f>
        <v/>
      </c>
      <c r="E30" s="181" t="str">
        <f>IF(OR(ISBLANK('الاجمالي الشهري'!C47), 'الاجمالي الشهري'!C47="", ISBLANK('الاجمالي الشهري'!C45), 'الاجمالي الشهري'!C45="", 'الاجمالي الشهري'!C45=0), "", ('الاجمالي الشهري'!C47*2) / ('الاجمالي الشهري'!C45 * 1440))</f>
        <v/>
      </c>
      <c r="F30" s="181" t="str">
        <f>IF(OR(ISBLANK('الاجمالي الشهري'!D47), 'الاجمالي الشهري'!D47="", ISBLANK('الاجمالي الشهري'!D45), 'الاجمالي الشهري'!D45="", 'الاجمالي الشهري'!D45=0), "", ('الاجمالي الشهري'!D47*2) / ('الاجمالي الشهري'!D45 * 1440))</f>
        <v/>
      </c>
      <c r="G30" s="181" t="str">
        <f>IF(OR(ISBLANK('الاجمالي الشهري'!E47), 'الاجمالي الشهري'!E47="", ISBLANK('الاجمالي الشهري'!E45), 'الاجمالي الشهري'!E45="", 'الاجمالي الشهري'!E45=0), "", ('الاجمالي الشهري'!E47*2) / ('الاجمالي الشهري'!E45 * 1440))</f>
        <v/>
      </c>
      <c r="H30" s="181" t="str">
        <f>IF(OR(ISBLANK('الاجمالي الشهري'!F47), 'الاجمالي الشهري'!F47="", ISBLANK('الاجمالي الشهري'!F45), 'الاجمالي الشهري'!F45="", 'الاجمالي الشهري'!F45=0), "", ('الاجمالي الشهري'!F47*2) / ('الاجمالي الشهري'!F45 * 1440))</f>
        <v/>
      </c>
      <c r="I30" s="181">
        <f>IF(OR(ISBLANK('الاجمالي الشهري'!G47), 'الاجمالي الشهري'!G47="", ISBLANK('الاجمالي الشهري'!G45), 'الاجمالي الشهري'!G45="", 'الاجمالي الشهري'!G45=0), "", ('الاجمالي الشهري'!G47*2) / ('الاجمالي الشهري'!G45 * 1440))</f>
        <v>-0.11945392491467574</v>
      </c>
      <c r="J30" s="181" t="str">
        <f>IF(OR(ISBLANK('الاجمالي الشهري'!H47), 'الاجمالي الشهري'!H47="", ISBLANK('الاجمالي الشهري'!H45), 'الاجمالي الشهري'!H45="", 'الاجمالي الشهري'!H45=0), "", ('الاجمالي الشهري'!H47*2) / ('الاجمالي الشهري'!H45 * 1440))</f>
        <v/>
      </c>
      <c r="K30" s="181" t="str">
        <f>IF(OR(ISBLANK('الاجمالي الشهري'!I47), 'الاجمالي الشهري'!I47="", ISBLANK('الاجمالي الشهري'!I45), 'الاجمالي الشهري'!I45="", 'الاجمالي الشهري'!I45=0), "", ('الاجمالي الشهري'!I47*2) / ('الاجمالي الشهري'!I45 * 1440))</f>
        <v/>
      </c>
      <c r="L30" s="181" t="str">
        <f>IF(OR(ISBLANK('الاجمالي الشهري'!J47), 'الاجمالي الشهري'!J47="", ISBLANK('الاجمالي الشهري'!J45), 'الاجمالي الشهري'!J45="", 'الاجمالي الشهري'!J45=0), "", ('الاجمالي الشهري'!J47*2) / ('الاجمالي الشهري'!J45 * 1440))</f>
        <v/>
      </c>
      <c r="M30" s="181" t="str">
        <f>IF(OR(ISBLANK('الاجمالي الشهري'!K47), 'الاجمالي الشهري'!K47="", ISBLANK('الاجمالي الشهري'!K45), 'الاجمالي الشهري'!K45="", 'الاجمالي الشهري'!K45=0), "", ('الاجمالي الشهري'!K47*2) / ('الاجمالي الشهري'!K45 * 1440))</f>
        <v/>
      </c>
      <c r="N30" s="181" t="str">
        <f>IF(OR(ISBLANK('الاجمالي الشهري'!L47), 'الاجمالي الشهري'!L47="", ISBLANK('الاجمالي الشهري'!L45), 'الاجمالي الشهري'!L45="", 'الاجمالي الشهري'!L45=0), "", ('الاجمالي الشهري'!L47*2) / ('الاجمالي الشهري'!L45 * 1440))</f>
        <v/>
      </c>
      <c r="O30" s="181" t="str">
        <f>IF(OR(ISBLANK('الاجمالي الشهري'!M47), 'الاجمالي الشهري'!M47="", ISBLANK('الاجمالي الشهري'!M45), 'الاجمالي الشهري'!M45="", 'الاجمالي الشهري'!M45=0), "", ('الاجمالي الشهري'!M47*2) / ('الاجمالي الشهري'!M45 * 1440))</f>
        <v/>
      </c>
    </row>
    <row r="31" spans="1:15" x14ac:dyDescent="0.35">
      <c r="A31" s="28">
        <v>21</v>
      </c>
      <c r="B31" s="161" t="s">
        <v>172</v>
      </c>
      <c r="C31" s="23" t="s">
        <v>171</v>
      </c>
      <c r="D31" s="41" t="str">
        <f>IF(OR(ISBLANK('الاجمالي الشهري'!B46), 'الاجمالي الشهري'!B46="", ISBLANK('الاجمالي الشهري'!B38), 'الاجمالي الشهري'!B38="", 'الاجمالي الشهري'!B38=0), "", 'الاجمالي الشهري'!B46/'الاجمالي الشهري'!B38)</f>
        <v/>
      </c>
      <c r="E31" s="41" t="str">
        <f>IF(OR(ISBLANK('الاجمالي الشهري'!C46), 'الاجمالي الشهري'!C46="", ISBLANK('الاجمالي الشهري'!C38), 'الاجمالي الشهري'!C38="", 'الاجمالي الشهري'!C38=0), "", 'الاجمالي الشهري'!C46/'الاجمالي الشهري'!C38)</f>
        <v/>
      </c>
      <c r="F31" s="41" t="str">
        <f>IF(OR(ISBLANK('الاجمالي الشهري'!D46), 'الاجمالي الشهري'!D46="", ISBLANK('الاجمالي الشهري'!D38), 'الاجمالي الشهري'!D38="", 'الاجمالي الشهري'!D38=0), "", 'الاجمالي الشهري'!D46/'الاجمالي الشهري'!D38)</f>
        <v/>
      </c>
      <c r="G31" s="41" t="str">
        <f>IF(OR(ISBLANK('الاجمالي الشهري'!E46), 'الاجمالي الشهري'!E46="", ISBLANK('الاجمالي الشهري'!E38), 'الاجمالي الشهري'!E38="", 'الاجمالي الشهري'!E38=0), "", 'الاجمالي الشهري'!E46/'الاجمالي الشهري'!E38)</f>
        <v/>
      </c>
      <c r="H31" s="41" t="str">
        <f>IF(OR(ISBLANK('الاجمالي الشهري'!F46), 'الاجمالي الشهري'!F46="", ISBLANK('الاجمالي الشهري'!F38), 'الاجمالي الشهري'!F38="", 'الاجمالي الشهري'!F38=0), "", 'الاجمالي الشهري'!F46/'الاجمالي الشهري'!F38)</f>
        <v/>
      </c>
      <c r="I31" s="41">
        <f>IF(OR(ISBLANK('الاجمالي الشهري'!G46), 'الاجمالي الشهري'!G46="", ISBLANK('الاجمالي الشهري'!G38), 'الاجمالي الشهري'!G38="", 'الاجمالي الشهري'!G38=0), "", 'الاجمالي الشهري'!G46/'الاجمالي الشهري'!G38)</f>
        <v>0.5</v>
      </c>
      <c r="J31" s="41" t="str">
        <f>IF(OR(ISBLANK('الاجمالي الشهري'!H46), 'الاجمالي الشهري'!H46="", ISBLANK('الاجمالي الشهري'!H38), 'الاجمالي الشهري'!H38="", 'الاجمالي الشهري'!H38=0), "", 'الاجمالي الشهري'!H46/'الاجمالي الشهري'!H38)</f>
        <v/>
      </c>
      <c r="K31" s="41" t="str">
        <f>IF(OR(ISBLANK('الاجمالي الشهري'!I46), 'الاجمالي الشهري'!I46="", ISBLANK('الاجمالي الشهري'!I38), 'الاجمالي الشهري'!I38="", 'الاجمالي الشهري'!I38=0), "", 'الاجمالي الشهري'!I46/'الاجمالي الشهري'!I38)</f>
        <v/>
      </c>
      <c r="L31" s="41" t="str">
        <f>IF(OR(ISBLANK('الاجمالي الشهري'!J46), 'الاجمالي الشهري'!J46="", ISBLANK('الاجمالي الشهري'!J38), 'الاجمالي الشهري'!J38="", 'الاجمالي الشهري'!J38=0), "", 'الاجمالي الشهري'!J46/'الاجمالي الشهري'!J38)</f>
        <v/>
      </c>
      <c r="M31" s="41" t="str">
        <f>IF(OR(ISBLANK('الاجمالي الشهري'!K46), 'الاجمالي الشهري'!K46="", ISBLANK('الاجمالي الشهري'!K38), 'الاجمالي الشهري'!K38="", 'الاجمالي الشهري'!K38=0), "", 'الاجمالي الشهري'!K46/'الاجمالي الشهري'!K38)</f>
        <v/>
      </c>
      <c r="N31" s="41" t="str">
        <f>IF(OR(ISBLANK('الاجمالي الشهري'!L46), 'الاجمالي الشهري'!L46="", ISBLANK('الاجمالي الشهري'!L38), 'الاجمالي الشهري'!L38="", 'الاجمالي الشهري'!L38=0), "", 'الاجمالي الشهري'!L46/'الاجمالي الشهري'!L38)</f>
        <v/>
      </c>
      <c r="O31" s="41" t="str">
        <f>IF(OR(ISBLANK('الاجمالي الشهري'!M46), 'الاجمالي الشهري'!M46="", ISBLANK('الاجمالي الشهري'!M38), 'الاجمالي الشهري'!M38="", 'الاجمالي الشهري'!M38=0), "", 'الاجمالي الشهري'!M46/'الاجمالي الشهري'!M38)</f>
        <v/>
      </c>
    </row>
    <row r="32" spans="1:15" x14ac:dyDescent="0.35">
      <c r="A32" s="175"/>
      <c r="B32" s="167"/>
      <c r="C32" s="175"/>
      <c r="D32" s="168"/>
      <c r="E32" s="168"/>
      <c r="F32" s="168"/>
      <c r="G32" s="168"/>
      <c r="H32" s="168"/>
      <c r="I32" s="168"/>
      <c r="J32" s="168"/>
      <c r="K32" s="168"/>
      <c r="L32" s="168"/>
      <c r="M32" s="168"/>
      <c r="N32" s="168"/>
      <c r="O32" s="168"/>
    </row>
    <row r="33" spans="1:15" ht="24.75" customHeight="1" x14ac:dyDescent="0.35">
      <c r="A33" s="205" t="s">
        <v>184</v>
      </c>
      <c r="B33" s="205"/>
      <c r="C33" s="205"/>
      <c r="D33" s="205"/>
      <c r="E33" s="205"/>
      <c r="F33" s="205"/>
      <c r="G33" s="205"/>
      <c r="H33" s="205"/>
      <c r="I33" s="205"/>
      <c r="J33" s="205"/>
      <c r="K33" s="205"/>
      <c r="L33" s="205"/>
      <c r="M33" s="205"/>
      <c r="N33" s="205"/>
      <c r="O33" s="205"/>
    </row>
    <row r="34" spans="1:15" x14ac:dyDescent="0.35">
      <c r="A34" s="25">
        <v>22</v>
      </c>
      <c r="B34" s="160" t="s">
        <v>173</v>
      </c>
      <c r="C34" s="26" t="s">
        <v>190</v>
      </c>
      <c r="D34" s="26" t="str">
        <f>IF(OR(ISBLANK('الاجمالي الشهري'!B11), 'الاجمالي الشهري'!B11="", ISBLANK('الاجمالي الشهري'!B6), 'الاجمالي الشهري'!B6="", 'الاجمالي الشهري'!B6=0), "", 'الاجمالي الشهري'!B11/'الاجمالي الشهري'!B6)</f>
        <v/>
      </c>
      <c r="E34" s="26" t="str">
        <f>IF(OR(ISBLANK('الاجمالي الشهري'!C11), 'الاجمالي الشهري'!C11="", ISBLANK('الاجمالي الشهري'!C6), 'الاجمالي الشهري'!C6="", 'الاجمالي الشهري'!C6=0), "", 'الاجمالي الشهري'!C11/'الاجمالي الشهري'!C6)</f>
        <v/>
      </c>
      <c r="F34" s="26" t="str">
        <f>IF(OR(ISBLANK('الاجمالي الشهري'!D11), 'الاجمالي الشهري'!D11="", ISBLANK('الاجمالي الشهري'!D6), 'الاجمالي الشهري'!D6="", 'الاجمالي الشهري'!D6=0), "", 'الاجمالي الشهري'!D11/'الاجمالي الشهري'!D6)</f>
        <v/>
      </c>
      <c r="G34" s="26" t="str">
        <f>IF(OR(ISBLANK('الاجمالي الشهري'!E11), 'الاجمالي الشهري'!E11="", ISBLANK('الاجمالي الشهري'!E6), 'الاجمالي الشهري'!E6="", 'الاجمالي الشهري'!E6=0), "", 'الاجمالي الشهري'!E11/'الاجمالي الشهري'!E6)</f>
        <v/>
      </c>
      <c r="H34" s="26" t="str">
        <f>IF(OR(ISBLANK('الاجمالي الشهري'!F11), 'الاجمالي الشهري'!F11="", ISBLANK('الاجمالي الشهري'!F6), 'الاجمالي الشهري'!F6="", 'الاجمالي الشهري'!F6=0), "", 'الاجمالي الشهري'!F11/'الاجمالي الشهري'!F6)</f>
        <v/>
      </c>
      <c r="I34" s="26">
        <f>IF(OR(ISBLANK('الاجمالي الشهري'!G11), 'الاجمالي الشهري'!G11="", ISBLANK('الاجمالي الشهري'!G6), 'الاجمالي الشهري'!G6="", 'الاجمالي الشهري'!G6=0), "", 'الاجمالي الشهري'!G11/'الاجمالي الشهري'!G6)</f>
        <v>2.5</v>
      </c>
      <c r="J34" s="26">
        <f>IF(OR(ISBLANK('الاجمالي الشهري'!H11), 'الاجمالي الشهري'!H11="", ISBLANK('الاجمالي الشهري'!H6), 'الاجمالي الشهري'!H6="", 'الاجمالي الشهري'!H6=0), "", 'الاجمالي الشهري'!H11/'الاجمالي الشهري'!H6)</f>
        <v>0</v>
      </c>
      <c r="K34" s="26" t="str">
        <f>IF(OR(ISBLANK('الاجمالي الشهري'!I11), 'الاجمالي الشهري'!I11="", ISBLANK('الاجمالي الشهري'!I6), 'الاجمالي الشهري'!I6="", 'الاجمالي الشهري'!I6=0), "", 'الاجمالي الشهري'!I11/'الاجمالي الشهري'!I6)</f>
        <v/>
      </c>
      <c r="L34" s="26" t="str">
        <f>IF(OR(ISBLANK('الاجمالي الشهري'!J11), 'الاجمالي الشهري'!J11="", ISBLANK('الاجمالي الشهري'!J6), 'الاجمالي الشهري'!J6="", 'الاجمالي الشهري'!J6=0), "", 'الاجمالي الشهري'!J11/'الاجمالي الشهري'!J6)</f>
        <v/>
      </c>
      <c r="M34" s="26" t="str">
        <f>IF(OR(ISBLANK('الاجمالي الشهري'!K11), 'الاجمالي الشهري'!K11="", ISBLANK('الاجمالي الشهري'!K6), 'الاجمالي الشهري'!K6="", 'الاجمالي الشهري'!K6=0), "", 'الاجمالي الشهري'!K11/'الاجمالي الشهري'!K6)</f>
        <v/>
      </c>
      <c r="N34" s="26" t="str">
        <f>IF(OR(ISBLANK('الاجمالي الشهري'!L11), 'الاجمالي الشهري'!L11="", ISBLANK('الاجمالي الشهري'!L6), 'الاجمالي الشهري'!L6="", 'الاجمالي الشهري'!L6=0), "", 'الاجمالي الشهري'!L11/'الاجمالي الشهري'!L6)</f>
        <v/>
      </c>
      <c r="O34" s="26" t="str">
        <f>IF(OR(ISBLANK('الاجمالي الشهري'!M11), 'الاجمالي الشهري'!M11="", ISBLANK('الاجمالي الشهري'!M6), 'الاجمالي الشهري'!M6="", 'الاجمالي الشهري'!M6=0), "", 'الاجمالي الشهري'!M11/'الاجمالي الشهري'!M6)</f>
        <v/>
      </c>
    </row>
    <row r="35" spans="1:15" x14ac:dyDescent="0.35">
      <c r="A35" s="28">
        <v>23</v>
      </c>
      <c r="B35" s="161" t="s">
        <v>174</v>
      </c>
      <c r="C35" s="23" t="s">
        <v>179</v>
      </c>
      <c r="D35" s="23">
        <f>IF(OR(ISBLANK('الاجمالي الشهري'!B6), 'الاجمالي الشهري'!B6=""), "", 'الاجمالي الشهري'!B6)</f>
        <v>0</v>
      </c>
      <c r="E35" s="23">
        <f>IF(OR(ISBLANK('الاجمالي الشهري'!C6), 'الاجمالي الشهري'!C6=""), "", 'الاجمالي الشهري'!C6)</f>
        <v>0</v>
      </c>
      <c r="F35" s="23">
        <f>IF(OR(ISBLANK('الاجمالي الشهري'!D6), 'الاجمالي الشهري'!D6=""), "", 'الاجمالي الشهري'!D6)</f>
        <v>0</v>
      </c>
      <c r="G35" s="23">
        <f>IF(OR(ISBLANK('الاجمالي الشهري'!E6), 'الاجمالي الشهري'!E6=""), "", 'الاجمالي الشهري'!E6)</f>
        <v>0</v>
      </c>
      <c r="H35" s="23">
        <f>IF(OR(ISBLANK('الاجمالي الشهري'!F6), 'الاجمالي الشهري'!F6=""), "", 'الاجمالي الشهري'!F6)</f>
        <v>0</v>
      </c>
      <c r="I35" s="23">
        <f>IF(OR(ISBLANK('الاجمالي الشهري'!G6), 'الاجمالي الشهري'!G6=""), "", 'الاجمالي الشهري'!G6)</f>
        <v>2</v>
      </c>
      <c r="J35" s="23">
        <f>IF(OR(ISBLANK('الاجمالي الشهري'!H6), 'الاجمالي الشهري'!H6=""), "", 'الاجمالي الشهري'!H6)</f>
        <v>1</v>
      </c>
      <c r="K35" s="23">
        <f>IF(OR(ISBLANK('الاجمالي الشهري'!I6), 'الاجمالي الشهري'!I6=""), "", 'الاجمالي الشهري'!I6)</f>
        <v>0</v>
      </c>
      <c r="L35" s="23">
        <f>IF(OR(ISBLANK('الاجمالي الشهري'!J6), 'الاجمالي الشهري'!J6=""), "", 'الاجمالي الشهري'!J6)</f>
        <v>0</v>
      </c>
      <c r="M35" s="23">
        <f>IF(OR(ISBLANK('الاجمالي الشهري'!K6), 'الاجمالي الشهري'!K6=""), "", 'الاجمالي الشهري'!K6)</f>
        <v>0</v>
      </c>
      <c r="N35" s="23">
        <f>IF(OR(ISBLANK('الاجمالي الشهري'!L6), 'الاجمالي الشهري'!L6=""), "", 'الاجمالي الشهري'!L6)</f>
        <v>0</v>
      </c>
      <c r="O35" s="23">
        <f>IF(OR(ISBLANK('الاجمالي الشهري'!M6), 'الاجمالي الشهري'!M6=""), "", 'الاجمالي الشهري'!M6)</f>
        <v>0</v>
      </c>
    </row>
    <row r="36" spans="1:15" x14ac:dyDescent="0.35">
      <c r="A36" s="25">
        <v>24</v>
      </c>
      <c r="B36" s="160" t="s">
        <v>175</v>
      </c>
      <c r="C36" s="26" t="s">
        <v>180</v>
      </c>
      <c r="D36" s="38" t="str">
        <f>IF(OR(ISBLANK('الاجمالي الشهري'!B7), 'الاجمالي الشهري'!B7="", ISBLANK('الاجمالي الشهري'!B6), 'الاجمالي الشهري'!B6="", 'الاجمالي الشهري'!B6=0), "", 'الاجمالي الشهري'!B7/'الاجمالي الشهري'!B6)</f>
        <v/>
      </c>
      <c r="E36" s="38" t="str">
        <f>IF(OR(ISBLANK('الاجمالي الشهري'!C7), 'الاجمالي الشهري'!C7="", ISBLANK('الاجمالي الشهري'!C6), 'الاجمالي الشهري'!C6="", 'الاجمالي الشهري'!C6=0), "", 'الاجمالي الشهري'!C7/'الاجمالي الشهري'!C6)</f>
        <v/>
      </c>
      <c r="F36" s="38" t="str">
        <f>IF(OR(ISBLANK('الاجمالي الشهري'!D7), 'الاجمالي الشهري'!D7="", ISBLANK('الاجمالي الشهري'!D6), 'الاجمالي الشهري'!D6="", 'الاجمالي الشهري'!D6=0), "", 'الاجمالي الشهري'!D7/'الاجمالي الشهري'!D6)</f>
        <v/>
      </c>
      <c r="G36" s="38" t="str">
        <f>IF(OR(ISBLANK('الاجمالي الشهري'!E7), 'الاجمالي الشهري'!E7="", ISBLANK('الاجمالي الشهري'!E6), 'الاجمالي الشهري'!E6="", 'الاجمالي الشهري'!E6=0), "", 'الاجمالي الشهري'!E7/'الاجمالي الشهري'!E6)</f>
        <v/>
      </c>
      <c r="H36" s="38" t="str">
        <f>IF(OR(ISBLANK('الاجمالي الشهري'!F7), 'الاجمالي الشهري'!F7="", ISBLANK('الاجمالي الشهري'!F6), 'الاجمالي الشهري'!F6="", 'الاجمالي الشهري'!F6=0), "", 'الاجمالي الشهري'!F7/'الاجمالي الشهري'!F6)</f>
        <v/>
      </c>
      <c r="I36" s="38">
        <f>IF(OR(ISBLANK('الاجمالي الشهري'!G7), 'الاجمالي الشهري'!G7="", ISBLANK('الاجمالي الشهري'!G6), 'الاجمالي الشهري'!G6="", 'الاجمالي الشهري'!G6=0), "", 'الاجمالي الشهري'!G7/'الاجمالي الشهري'!G6)</f>
        <v>1</v>
      </c>
      <c r="J36" s="38">
        <f>IF(OR(ISBLANK('الاجمالي الشهري'!H7), 'الاجمالي الشهري'!H7="", ISBLANK('الاجمالي الشهري'!H6), 'الاجمالي الشهري'!H6="", 'الاجمالي الشهري'!H6=0), "", 'الاجمالي الشهري'!H7/'الاجمالي الشهري'!H6)</f>
        <v>0</v>
      </c>
      <c r="K36" s="38" t="str">
        <f>IF(OR(ISBLANK('الاجمالي الشهري'!I7), 'الاجمالي الشهري'!I7="", ISBLANK('الاجمالي الشهري'!I6), 'الاجمالي الشهري'!I6="", 'الاجمالي الشهري'!I6=0), "", 'الاجمالي الشهري'!I7/'الاجمالي الشهري'!I6)</f>
        <v/>
      </c>
      <c r="L36" s="38" t="str">
        <f>IF(OR(ISBLANK('الاجمالي الشهري'!J7), 'الاجمالي الشهري'!J7="", ISBLANK('الاجمالي الشهري'!J6), 'الاجمالي الشهري'!J6="", 'الاجمالي الشهري'!J6=0), "", 'الاجمالي الشهري'!J7/'الاجمالي الشهري'!J6)</f>
        <v/>
      </c>
      <c r="M36" s="38" t="str">
        <f>IF(OR(ISBLANK('الاجمالي الشهري'!K7), 'الاجمالي الشهري'!K7="", ISBLANK('الاجمالي الشهري'!K6), 'الاجمالي الشهري'!K6="", 'الاجمالي الشهري'!K6=0), "", 'الاجمالي الشهري'!K7/'الاجمالي الشهري'!K6)</f>
        <v/>
      </c>
      <c r="N36" s="38" t="str">
        <f>IF(OR(ISBLANK('الاجمالي الشهري'!L7), 'الاجمالي الشهري'!L7="", ISBLANK('الاجمالي الشهري'!L6), 'الاجمالي الشهري'!L6="", 'الاجمالي الشهري'!L6=0), "", 'الاجمالي الشهري'!L7/'الاجمالي الشهري'!L6)</f>
        <v/>
      </c>
      <c r="O36" s="38" t="str">
        <f>IF(OR(ISBLANK('الاجمالي الشهري'!M7), 'الاجمالي الشهري'!M7="", ISBLANK('الاجمالي الشهري'!M6), 'الاجمالي الشهري'!M6="", 'الاجمالي الشهري'!M6=0), "", 'الاجمالي الشهري'!M7/'الاجمالي الشهري'!M6)</f>
        <v/>
      </c>
    </row>
    <row r="37" spans="1:15" x14ac:dyDescent="0.35">
      <c r="A37" s="28">
        <v>25</v>
      </c>
      <c r="B37" s="161" t="s">
        <v>176</v>
      </c>
      <c r="C37" s="23" t="s">
        <v>181</v>
      </c>
      <c r="D37" s="41" t="str">
        <f>IF(OR(ISBLANK('الاجمالي الشهري'!B8), 'الاجمالي الشهري'!B8="", ISBLANK('الاجمالي الشهري'!B6), 'الاجمالي الشهري'!B6="", 'الاجمالي الشهري'!B6=0), "", 'الاجمالي الشهري'!B8/'الاجمالي الشهري'!B6)</f>
        <v/>
      </c>
      <c r="E37" s="41" t="str">
        <f>IF(OR(ISBLANK('الاجمالي الشهري'!C8), 'الاجمالي الشهري'!C8="", ISBLANK('الاجمالي الشهري'!C6), 'الاجمالي الشهري'!C6="", 'الاجمالي الشهري'!C6=0), "", 'الاجمالي الشهري'!C8/'الاجمالي الشهري'!C6)</f>
        <v/>
      </c>
      <c r="F37" s="41" t="str">
        <f>IF(OR(ISBLANK('الاجمالي الشهري'!D8), 'الاجمالي الشهري'!D8="", ISBLANK('الاجمالي الشهري'!D6), 'الاجمالي الشهري'!D6="", 'الاجمالي الشهري'!D6=0), "", 'الاجمالي الشهري'!D8/'الاجمالي الشهري'!D6)</f>
        <v/>
      </c>
      <c r="G37" s="41" t="str">
        <f>IF(OR(ISBLANK('الاجمالي الشهري'!E8), 'الاجمالي الشهري'!E8="", ISBLANK('الاجمالي الشهري'!E6), 'الاجمالي الشهري'!E6="", 'الاجمالي الشهري'!E6=0), "", 'الاجمالي الشهري'!E8/'الاجمالي الشهري'!E6)</f>
        <v/>
      </c>
      <c r="H37" s="41" t="str">
        <f>IF(OR(ISBLANK('الاجمالي الشهري'!F8), 'الاجمالي الشهري'!F8="", ISBLANK('الاجمالي الشهري'!F6), 'الاجمالي الشهري'!F6="", 'الاجمالي الشهري'!F6=0), "", 'الاجمالي الشهري'!F8/'الاجمالي الشهري'!F6)</f>
        <v/>
      </c>
      <c r="I37" s="41">
        <f>IF(OR(ISBLANK('الاجمالي الشهري'!G8), 'الاجمالي الشهري'!G8="", ISBLANK('الاجمالي الشهري'!G6), 'الاجمالي الشهري'!G6="", 'الاجمالي الشهري'!G6=0), "", 'الاجمالي الشهري'!G8/'الاجمالي الشهري'!G6)</f>
        <v>0</v>
      </c>
      <c r="J37" s="41">
        <f>IF(OR(ISBLANK('الاجمالي الشهري'!H8), 'الاجمالي الشهري'!H8="", ISBLANK('الاجمالي الشهري'!H6), 'الاجمالي الشهري'!H6="", 'الاجمالي الشهري'!H6=0), "", 'الاجمالي الشهري'!H8/'الاجمالي الشهري'!H6)</f>
        <v>0</v>
      </c>
      <c r="K37" s="41" t="str">
        <f>IF(OR(ISBLANK('الاجمالي الشهري'!I8), 'الاجمالي الشهري'!I8="", ISBLANK('الاجمالي الشهري'!I6), 'الاجمالي الشهري'!I6="", 'الاجمالي الشهري'!I6=0), "", 'الاجمالي الشهري'!I8/'الاجمالي الشهري'!I6)</f>
        <v/>
      </c>
      <c r="L37" s="41" t="str">
        <f>IF(OR(ISBLANK('الاجمالي الشهري'!J8), 'الاجمالي الشهري'!J8="", ISBLANK('الاجمالي الشهري'!J6), 'الاجمالي الشهري'!J6="", 'الاجمالي الشهري'!J6=0), "", 'الاجمالي الشهري'!J8/'الاجمالي الشهري'!J6)</f>
        <v/>
      </c>
      <c r="M37" s="41" t="str">
        <f>IF(OR(ISBLANK('الاجمالي الشهري'!K8), 'الاجمالي الشهري'!K8="", ISBLANK('الاجمالي الشهري'!K6), 'الاجمالي الشهري'!K6="", 'الاجمالي الشهري'!K6=0), "", 'الاجمالي الشهري'!K8/'الاجمالي الشهري'!K6)</f>
        <v/>
      </c>
      <c r="N37" s="41" t="str">
        <f>IF(OR(ISBLANK('الاجمالي الشهري'!L8), 'الاجمالي الشهري'!L8="", ISBLANK('الاجمالي الشهري'!L6), 'الاجمالي الشهري'!L6="", 'الاجمالي الشهري'!L6=0), "", 'الاجمالي الشهري'!L8/'الاجمالي الشهري'!L6)</f>
        <v/>
      </c>
      <c r="O37" s="41" t="str">
        <f>IF(OR(ISBLANK('الاجمالي الشهري'!M8), 'الاجمالي الشهري'!M8="", ISBLANK('الاجمالي الشهري'!M6), 'الاجمالي الشهري'!M6="", 'الاجمالي الشهري'!M6=0), "", 'الاجمالي الشهري'!M8/'الاجمالي الشهري'!M6)</f>
        <v/>
      </c>
    </row>
    <row r="38" spans="1:15" x14ac:dyDescent="0.35">
      <c r="A38" s="25">
        <v>26</v>
      </c>
      <c r="B38" s="160" t="s">
        <v>177</v>
      </c>
      <c r="C38" s="26" t="s">
        <v>182</v>
      </c>
      <c r="D38" s="38" t="str">
        <f>IF(OR(ISBLANK('الاجمالي الشهري'!B9), 'الاجمالي الشهري'!B9="", ISBLANK('الاجمالي الشهري'!B6), 'الاجمالي الشهري'!B6="", 'الاجمالي الشهري'!B6=0), "", 'الاجمالي الشهري'!B9/'الاجمالي الشهري'!B6)</f>
        <v/>
      </c>
      <c r="E38" s="38" t="str">
        <f>IF(OR(ISBLANK('الاجمالي الشهري'!C9), 'الاجمالي الشهري'!C9="", ISBLANK('الاجمالي الشهري'!C6), 'الاجمالي الشهري'!C6="", 'الاجمالي الشهري'!C6=0), "", 'الاجمالي الشهري'!C9/'الاجمالي الشهري'!C6)</f>
        <v/>
      </c>
      <c r="F38" s="38" t="str">
        <f>IF(OR(ISBLANK('الاجمالي الشهري'!D9), 'الاجمالي الشهري'!D9="", ISBLANK('الاجمالي الشهري'!D6), 'الاجمالي الشهري'!D6="", 'الاجمالي الشهري'!D6=0), "", 'الاجمالي الشهري'!D9/'الاجمالي الشهري'!D6)</f>
        <v/>
      </c>
      <c r="G38" s="38" t="str">
        <f>IF(OR(ISBLANK('الاجمالي الشهري'!E9), 'الاجمالي الشهري'!E9="", ISBLANK('الاجمالي الشهري'!E6), 'الاجمالي الشهري'!E6="", 'الاجمالي الشهري'!E6=0), "", 'الاجمالي الشهري'!E9/'الاجمالي الشهري'!E6)</f>
        <v/>
      </c>
      <c r="H38" s="38" t="str">
        <f>IF(OR(ISBLANK('الاجمالي الشهري'!F9), 'الاجمالي الشهري'!F9="", ISBLANK('الاجمالي الشهري'!F6), 'الاجمالي الشهري'!F6="", 'الاجمالي الشهري'!F6=0), "", 'الاجمالي الشهري'!F9/'الاجمالي الشهري'!F6)</f>
        <v/>
      </c>
      <c r="I38" s="38">
        <f>IF(OR(ISBLANK('الاجمالي الشهري'!G9), 'الاجمالي الشهري'!G9="", ISBLANK('الاجمالي الشهري'!G6), 'الاجمالي الشهري'!G6="", 'الاجمالي الشهري'!G6=0), "", 'الاجمالي الشهري'!G9/'الاجمالي الشهري'!G6)</f>
        <v>0.5</v>
      </c>
      <c r="J38" s="38">
        <f>IF(OR(ISBLANK('الاجمالي الشهري'!H9), 'الاجمالي الشهري'!H9="", ISBLANK('الاجمالي الشهري'!H6), 'الاجمالي الشهري'!H6="", 'الاجمالي الشهري'!H6=0), "", 'الاجمالي الشهري'!H9/'الاجمالي الشهري'!H6)</f>
        <v>0</v>
      </c>
      <c r="K38" s="38" t="str">
        <f>IF(OR(ISBLANK('الاجمالي الشهري'!I9), 'الاجمالي الشهري'!I9="", ISBLANK('الاجمالي الشهري'!I6), 'الاجمالي الشهري'!I6="", 'الاجمالي الشهري'!I6=0), "", 'الاجمالي الشهري'!I9/'الاجمالي الشهري'!I6)</f>
        <v/>
      </c>
      <c r="L38" s="38" t="str">
        <f>IF(OR(ISBLANK('الاجمالي الشهري'!J9), 'الاجمالي الشهري'!J9="", ISBLANK('الاجمالي الشهري'!J6), 'الاجمالي الشهري'!J6="", 'الاجمالي الشهري'!J6=0), "", 'الاجمالي الشهري'!J9/'الاجمالي الشهري'!J6)</f>
        <v/>
      </c>
      <c r="M38" s="38" t="str">
        <f>IF(OR(ISBLANK('الاجمالي الشهري'!K9), 'الاجمالي الشهري'!K9="", ISBLANK('الاجمالي الشهري'!K6), 'الاجمالي الشهري'!K6="", 'الاجمالي الشهري'!K6=0), "", 'الاجمالي الشهري'!K9/'الاجمالي الشهري'!K6)</f>
        <v/>
      </c>
      <c r="N38" s="38" t="str">
        <f>IF(OR(ISBLANK('الاجمالي الشهري'!L9), 'الاجمالي الشهري'!L9="", ISBLANK('الاجمالي الشهري'!L6), 'الاجمالي الشهري'!L6="", 'الاجمالي الشهري'!L6=0), "", 'الاجمالي الشهري'!L9/'الاجمالي الشهري'!L6)</f>
        <v/>
      </c>
      <c r="O38" s="38" t="str">
        <f>IF(OR(ISBLANK('الاجمالي الشهري'!M9), 'الاجمالي الشهري'!M9="", ISBLANK('الاجمالي الشهري'!M6), 'الاجمالي الشهري'!M6="", 'الاجمالي الشهري'!M6=0), "", 'الاجمالي الشهري'!M9/'الاجمالي الشهري'!M6)</f>
        <v/>
      </c>
    </row>
    <row r="39" spans="1:15" x14ac:dyDescent="0.35">
      <c r="A39" s="28">
        <v>27</v>
      </c>
      <c r="B39" s="162" t="s">
        <v>178</v>
      </c>
      <c r="C39" s="29" t="s">
        <v>183</v>
      </c>
      <c r="D39" s="41" t="str">
        <f>IF(OR(ISBLANK('الاجمالي الشهري'!B10), 'الاجمالي الشهري'!B10="", ISBLANK('الاجمالي الشهري'!B7), 'الاجمالي الشهري'!B7="", 'الاجمالي الشهري'!B7=0), "", 'الاجمالي الشهري'!B10/'الاجمالي الشهري'!B7)</f>
        <v/>
      </c>
      <c r="E39" s="41" t="str">
        <f>IF(OR(ISBLANK('الاجمالي الشهري'!C10), 'الاجمالي الشهري'!C10="", ISBLANK('الاجمالي الشهري'!C7), 'الاجمالي الشهري'!C7="", 'الاجمالي الشهري'!C7=0), "", 'الاجمالي الشهري'!C10/'الاجمالي الشهري'!C7)</f>
        <v/>
      </c>
      <c r="F39" s="41" t="str">
        <f>IF(OR(ISBLANK('الاجمالي الشهري'!D10), 'الاجمالي الشهري'!D10="", ISBLANK('الاجمالي الشهري'!D7), 'الاجمالي الشهري'!D7="", 'الاجمالي الشهري'!D7=0), "", 'الاجمالي الشهري'!D10/'الاجمالي الشهري'!D7)</f>
        <v/>
      </c>
      <c r="G39" s="41" t="str">
        <f>IF(OR(ISBLANK('الاجمالي الشهري'!E10), 'الاجمالي الشهري'!E10="", ISBLANK('الاجمالي الشهري'!E7), 'الاجمالي الشهري'!E7="", 'الاجمالي الشهري'!E7=0), "", 'الاجمالي الشهري'!E10/'الاجمالي الشهري'!E7)</f>
        <v/>
      </c>
      <c r="H39" s="41" t="str">
        <f>IF(OR(ISBLANK('الاجمالي الشهري'!F10), 'الاجمالي الشهري'!F10="", ISBLANK('الاجمالي الشهري'!F7), 'الاجمالي الشهري'!F7="", 'الاجمالي الشهري'!F7=0), "", 'الاجمالي الشهري'!F10/'الاجمالي الشهري'!F7)</f>
        <v/>
      </c>
      <c r="I39" s="41">
        <f>IF(OR(ISBLANK('الاجمالي الشهري'!G10), 'الاجمالي الشهري'!G10="", ISBLANK('الاجمالي الشهري'!G7), 'الاجمالي الشهري'!G7="", 'الاجمالي الشهري'!G7=0), "", 'الاجمالي الشهري'!G10/'الاجمالي الشهري'!G7)</f>
        <v>0.5</v>
      </c>
      <c r="J39" s="41" t="str">
        <f>IF(OR(ISBLANK('الاجمالي الشهري'!H10), 'الاجمالي الشهري'!H10="", ISBLANK('الاجمالي الشهري'!H7), 'الاجمالي الشهري'!H7="", 'الاجمالي الشهري'!H7=0), "", 'الاجمالي الشهري'!H10/'الاجمالي الشهري'!H7)</f>
        <v/>
      </c>
      <c r="K39" s="41" t="str">
        <f>IF(OR(ISBLANK('الاجمالي الشهري'!I10), 'الاجمالي الشهري'!I10="", ISBLANK('الاجمالي الشهري'!I7), 'الاجمالي الشهري'!I7="", 'الاجمالي الشهري'!I7=0), "", 'الاجمالي الشهري'!I10/'الاجمالي الشهري'!I7)</f>
        <v/>
      </c>
      <c r="L39" s="41" t="str">
        <f>IF(OR(ISBLANK('الاجمالي الشهري'!J10), 'الاجمالي الشهري'!J10="", ISBLANK('الاجمالي الشهري'!J7), 'الاجمالي الشهري'!J7="", 'الاجمالي الشهري'!J7=0), "", 'الاجمالي الشهري'!J10/'الاجمالي الشهري'!J7)</f>
        <v/>
      </c>
      <c r="M39" s="41" t="str">
        <f>IF(OR(ISBLANK('الاجمالي الشهري'!K10), 'الاجمالي الشهري'!K10="", ISBLANK('الاجمالي الشهري'!K7), 'الاجمالي الشهري'!K7="", 'الاجمالي الشهري'!K7=0), "", 'الاجمالي الشهري'!K10/'الاجمالي الشهري'!K7)</f>
        <v/>
      </c>
      <c r="N39" s="41" t="str">
        <f>IF(OR(ISBLANK('الاجمالي الشهري'!L10), 'الاجمالي الشهري'!L10="", ISBLANK('الاجمالي الشهري'!L7), 'الاجمالي الشهري'!L7="", 'الاجمالي الشهري'!L7=0), "", 'الاجمالي الشهري'!L10/'الاجمالي الشهري'!L7)</f>
        <v/>
      </c>
      <c r="O39" s="41" t="str">
        <f>IF(OR(ISBLANK('الاجمالي الشهري'!M10), 'الاجمالي الشهري'!M10="", ISBLANK('الاجمالي الشهري'!M7), 'الاجمالي الشهري'!M7="", 'الاجمالي الشهري'!M7=0), "", 'الاجمالي الشهري'!M10/'الاجمالي الشهري'!M7)</f>
        <v/>
      </c>
    </row>
  </sheetData>
  <sheetProtection algorithmName="SHA-512" hashValue="FHJVTuXfsHx3dgYfAbrvi5Nmo87SYLnR9OdWoQjmfnJ+cOqYI9bQ8R3hMXh26J7TL8ulDxrttBYQOj4aIWOFYA==" saltValue="bTHPZOBzaL1dhtBAPev/ow==" spinCount="100000" sheet="1" objects="1" scenarios="1"/>
  <mergeCells count="6">
    <mergeCell ref="A33:O33"/>
    <mergeCell ref="A1:O1"/>
    <mergeCell ref="A4:O4"/>
    <mergeCell ref="A14:O14"/>
    <mergeCell ref="A18:O18"/>
    <mergeCell ref="A24:O2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بيانات المنشأة و تردد العيادات</vt:lpstr>
      <vt:lpstr>سجل الشكاوى</vt:lpstr>
      <vt:lpstr>تدريب</vt:lpstr>
      <vt:lpstr>الإفاقة القلبية</vt:lpstr>
      <vt:lpstr>الطوارئ والاستقبال</vt:lpstr>
      <vt:lpstr>الاجمالي الشهري</vt:lpstr>
      <vt:lpstr>نتائج المؤشرات الشهرية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2026-06-03T10:43:41Z</dcterms:modified>
</cp:coreProperties>
</file>